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ARSHIT\Desktop\"/>
    </mc:Choice>
  </mc:AlternateContent>
  <bookViews>
    <workbookView xWindow="0" yWindow="0" windowWidth="20700" windowHeight="7830" activeTab="2"/>
  </bookViews>
  <sheets>
    <sheet name="Constituency Data" sheetId="1" r:id="rId1"/>
    <sheet name="District wise Data" sheetId="8" r:id="rId2"/>
    <sheet name="Aggregate Calculation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8" l="1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P2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N2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F7" i="8" l="1"/>
  <c r="F5" i="8"/>
  <c r="F8" i="8"/>
  <c r="F6" i="8"/>
  <c r="F17" i="8"/>
  <c r="F22" i="8"/>
  <c r="F3" i="8"/>
  <c r="F9" i="8"/>
  <c r="F13" i="8"/>
  <c r="F20" i="8"/>
  <c r="F4" i="8"/>
  <c r="F21" i="8"/>
  <c r="F15" i="8"/>
  <c r="F24" i="8"/>
  <c r="F23" i="8"/>
  <c r="F2" i="8"/>
  <c r="F16" i="8"/>
  <c r="F25" i="8"/>
  <c r="F12" i="8"/>
  <c r="F11" i="8"/>
  <c r="F19" i="8"/>
  <c r="F18" i="8"/>
  <c r="F10" i="8"/>
  <c r="F14" i="8"/>
  <c r="O14" i="1"/>
  <c r="O2" i="1"/>
  <c r="O3" i="1"/>
  <c r="O4" i="1"/>
  <c r="O5" i="1"/>
  <c r="O6" i="1"/>
  <c r="O7" i="1"/>
  <c r="O8" i="1"/>
  <c r="O9" i="1"/>
  <c r="O10" i="1"/>
  <c r="O11" i="1"/>
  <c r="O12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D39" i="1" l="1"/>
  <c r="AE39" i="1" s="1"/>
  <c r="AD35" i="1"/>
  <c r="AE35" i="1" s="1"/>
  <c r="AD31" i="1"/>
  <c r="AE31" i="1" s="1"/>
  <c r="AD27" i="1"/>
  <c r="AE27" i="1" s="1"/>
  <c r="AD23" i="1"/>
  <c r="AE23" i="1" s="1"/>
  <c r="AD19" i="1"/>
  <c r="AE19" i="1" s="1"/>
  <c r="AD15" i="1"/>
  <c r="AE15" i="1" s="1"/>
  <c r="AD11" i="1"/>
  <c r="AE11" i="1" s="1"/>
  <c r="AD7" i="1"/>
  <c r="AE7" i="1" s="1"/>
  <c r="AD3" i="1"/>
  <c r="AE3" i="1" s="1"/>
  <c r="AD42" i="1"/>
  <c r="AE42" i="1" s="1"/>
  <c r="AD38" i="1"/>
  <c r="AE38" i="1" s="1"/>
  <c r="AD34" i="1"/>
  <c r="AE34" i="1" s="1"/>
  <c r="AD30" i="1"/>
  <c r="AE30" i="1" s="1"/>
  <c r="AD26" i="1"/>
  <c r="AE26" i="1" s="1"/>
  <c r="AD22" i="1"/>
  <c r="AE22" i="1" s="1"/>
  <c r="AD18" i="1"/>
  <c r="AE18" i="1" s="1"/>
  <c r="AD14" i="1"/>
  <c r="AE14" i="1" s="1"/>
  <c r="AD10" i="1"/>
  <c r="AE10" i="1" s="1"/>
  <c r="AD6" i="1"/>
  <c r="AE6" i="1" s="1"/>
  <c r="AD2" i="1"/>
  <c r="AE2" i="1" s="1"/>
  <c r="AD40" i="1"/>
  <c r="AE40" i="1" s="1"/>
  <c r="AD36" i="1"/>
  <c r="AE36" i="1" s="1"/>
  <c r="AD32" i="1"/>
  <c r="AE32" i="1" s="1"/>
  <c r="AD28" i="1"/>
  <c r="AE28" i="1" s="1"/>
  <c r="AD24" i="1"/>
  <c r="AE24" i="1" s="1"/>
  <c r="AD20" i="1"/>
  <c r="AE20" i="1" s="1"/>
  <c r="AD16" i="1"/>
  <c r="AE16" i="1" s="1"/>
  <c r="AD12" i="1"/>
  <c r="AE12" i="1" s="1"/>
  <c r="AD8" i="1"/>
  <c r="AE8" i="1" s="1"/>
  <c r="AD4" i="1"/>
  <c r="AE4" i="1" s="1"/>
  <c r="AD41" i="1"/>
  <c r="AE41" i="1" s="1"/>
  <c r="AD37" i="1"/>
  <c r="AE37" i="1" s="1"/>
  <c r="AD33" i="1"/>
  <c r="AE33" i="1" s="1"/>
  <c r="AD29" i="1"/>
  <c r="AE29" i="1" s="1"/>
  <c r="AD25" i="1"/>
  <c r="AE25" i="1" s="1"/>
  <c r="AD21" i="1"/>
  <c r="AE21" i="1" s="1"/>
  <c r="AD17" i="1"/>
  <c r="AE17" i="1" s="1"/>
  <c r="AD13" i="1"/>
  <c r="AE13" i="1" s="1"/>
  <c r="AD9" i="1"/>
  <c r="AE9" i="1" s="1"/>
  <c r="AD5" i="1"/>
  <c r="AE5" i="1" s="1"/>
  <c r="K4" i="2"/>
  <c r="L4" i="2" s="1"/>
  <c r="J4" i="2"/>
  <c r="I4" i="2"/>
  <c r="H4" i="2"/>
  <c r="C4" i="2"/>
  <c r="B4" i="2"/>
  <c r="K3" i="2"/>
  <c r="L3" i="2" s="1"/>
  <c r="J3" i="2"/>
  <c r="I3" i="2"/>
  <c r="H3" i="2"/>
  <c r="C3" i="2"/>
  <c r="B3" i="2"/>
  <c r="K2" i="2"/>
  <c r="L2" i="2" s="1"/>
  <c r="J2" i="2"/>
  <c r="I2" i="2"/>
  <c r="C2" i="2"/>
  <c r="B2" i="2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comments1.xml><?xml version="1.0" encoding="utf-8"?>
<comments xmlns="http://schemas.openxmlformats.org/spreadsheetml/2006/main">
  <authors>
    <author>HARSHIT</author>
  </authors>
  <commentList>
    <comment ref="P1" authorId="0" shapeId="0">
      <text>
        <r>
          <rPr>
            <b/>
            <sz val="9"/>
            <color indexed="81"/>
            <rFont val="Tahoma"/>
            <family val="2"/>
          </rPr>
          <t>condition</t>
        </r>
        <r>
          <rPr>
            <sz val="9"/>
            <color indexed="81"/>
            <rFont val="Tahoma"/>
            <family val="2"/>
          </rPr>
          <t>: IF 3rd front(i.e other than NDA &amp; MGB) has more than 15% vote share.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winner Party:</t>
        </r>
        <r>
          <rPr>
            <sz val="9"/>
            <color indexed="81"/>
            <rFont val="Tahoma"/>
            <family val="2"/>
          </rPr>
          <t xml:space="preserve">
RJD</t>
        </r>
      </text>
    </comment>
    <comment ref="U20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 LJP has 13% vote share
</t>
        </r>
      </text>
    </comment>
    <comment ref="J26" authorId="0" shapeId="0">
      <text>
        <r>
          <rPr>
            <b/>
            <sz val="9"/>
            <color indexed="81"/>
            <rFont val="Tahoma"/>
            <family val="2"/>
          </rPr>
          <t>From here winner party:</t>
        </r>
        <r>
          <rPr>
            <sz val="9"/>
            <color indexed="81"/>
            <rFont val="Tahoma"/>
            <family val="2"/>
          </rPr>
          <t xml:space="preserve">
INC</t>
        </r>
      </text>
    </comment>
    <comment ref="U31" authorId="0" shapeId="0">
      <text>
        <r>
          <rPr>
            <sz val="9"/>
            <color indexed="81"/>
            <rFont val="Tahoma"/>
            <family val="2"/>
          </rPr>
          <t xml:space="preserve">NOTE:LJP has 11.5% vote share
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</rPr>
          <t>From here Winner party:</t>
        </r>
        <r>
          <rPr>
            <sz val="9"/>
            <color indexed="81"/>
            <rFont val="Tahoma"/>
            <family val="2"/>
          </rPr>
          <t xml:space="preserve">
CPI(ML)</t>
        </r>
      </text>
    </comment>
    <comment ref="P33" authorId="0" shapeId="0">
      <text>
        <r>
          <rPr>
            <sz val="9"/>
            <color indexed="81"/>
            <rFont val="Tahoma"/>
            <family val="2"/>
          </rPr>
          <t xml:space="preserve">12% vote share
</t>
        </r>
      </text>
    </comment>
    <comment ref="U34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 LJP has 10.5% vote share
</t>
        </r>
      </text>
    </comment>
    <comment ref="Z34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charset val="1"/>
          </rPr>
          <t xml:space="preserve"> CPI(ML) has 13.3% vote share.
</t>
        </r>
      </text>
    </comment>
    <comment ref="J35" authorId="0" shapeId="0">
      <text>
        <r>
          <rPr>
            <b/>
            <sz val="9"/>
            <color indexed="81"/>
            <rFont val="Tahoma"/>
            <family val="2"/>
          </rPr>
          <t>winner party:</t>
        </r>
        <r>
          <rPr>
            <sz val="9"/>
            <color indexed="81"/>
            <rFont val="Tahoma"/>
            <family val="2"/>
          </rPr>
          <t xml:space="preserve">
CPI(M)
</t>
        </r>
      </text>
    </comment>
    <comment ref="J36" authorId="0" shapeId="0">
      <text>
        <r>
          <rPr>
            <b/>
            <sz val="9"/>
            <color indexed="81"/>
            <rFont val="Tahoma"/>
            <family val="2"/>
          </rPr>
          <t>Winner Party:</t>
        </r>
        <r>
          <rPr>
            <sz val="9"/>
            <color indexed="81"/>
            <rFont val="Tahoma"/>
            <family val="2"/>
          </rPr>
          <t xml:space="preserve">
IIP</t>
        </r>
      </text>
    </comment>
    <comment ref="J37" authorId="0" shapeId="0">
      <text>
        <r>
          <rPr>
            <b/>
            <sz val="9"/>
            <color indexed="81"/>
            <rFont val="Tahoma"/>
            <family val="2"/>
          </rPr>
          <t>From here winner Party:</t>
        </r>
        <r>
          <rPr>
            <sz val="9"/>
            <color indexed="81"/>
            <rFont val="Tahoma"/>
            <family val="2"/>
          </rPr>
          <t xml:space="preserve">
AIMIM</t>
        </r>
      </text>
    </comment>
    <comment ref="Z39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 Indepndent had 17.5% &amp; Jan Adhikar Party(JAP) had 13.3% of votes.
</t>
        </r>
      </text>
    </comment>
    <comment ref="J42" authorId="0" shapeId="0">
      <text>
        <r>
          <rPr>
            <b/>
            <sz val="9"/>
            <color indexed="81"/>
            <rFont val="Tahoma"/>
            <family val="2"/>
          </rPr>
          <t xml:space="preserve">Winner Party:
</t>
        </r>
        <r>
          <rPr>
            <sz val="9"/>
            <color indexed="81"/>
            <rFont val="Tahoma"/>
            <family val="2"/>
          </rPr>
          <t>BSP</t>
        </r>
      </text>
    </comment>
  </commentList>
</comments>
</file>

<file path=xl/sharedStrings.xml><?xml version="1.0" encoding="utf-8"?>
<sst xmlns="http://schemas.openxmlformats.org/spreadsheetml/2006/main" count="584" uniqueCount="140">
  <si>
    <t>S.no</t>
  </si>
  <si>
    <t>Constituency Name</t>
  </si>
  <si>
    <t>District</t>
  </si>
  <si>
    <t>2025_winner</t>
  </si>
  <si>
    <t>2020_winner</t>
  </si>
  <si>
    <t>2015_winner</t>
  </si>
  <si>
    <t>Bodh Gaya</t>
  </si>
  <si>
    <t>Brahampur</t>
  </si>
  <si>
    <t>Chakai</t>
  </si>
  <si>
    <t>Dhaka</t>
  </si>
  <si>
    <t>Fatuha</t>
  </si>
  <si>
    <t>Garkha</t>
  </si>
  <si>
    <t>Goh</t>
  </si>
  <si>
    <t>Jehanabad</t>
  </si>
  <si>
    <t>Madhepura</t>
  </si>
  <si>
    <t>Mahishi</t>
  </si>
  <si>
    <t>Makhdumpur</t>
  </si>
  <si>
    <t>Maner</t>
  </si>
  <si>
    <t>Marhaura</t>
  </si>
  <si>
    <t>Matihani</t>
  </si>
  <si>
    <t>Morwa</t>
  </si>
  <si>
    <t>Paroo</t>
  </si>
  <si>
    <t>Parsa</t>
  </si>
  <si>
    <t>Raghopur</t>
  </si>
  <si>
    <t>Raghunathpur</t>
  </si>
  <si>
    <t>Raniganj</t>
  </si>
  <si>
    <t>Sahebpur Kamal</t>
  </si>
  <si>
    <t>Tikari</t>
  </si>
  <si>
    <t>Ujiarpur</t>
  </si>
  <si>
    <t>Warsaliganj</t>
  </si>
  <si>
    <t> Bisfi</t>
  </si>
  <si>
    <t>Constituency_Type</t>
  </si>
  <si>
    <t>General</t>
  </si>
  <si>
    <t>MGB</t>
  </si>
  <si>
    <t>runner_up</t>
  </si>
  <si>
    <t>SC</t>
  </si>
  <si>
    <t>Strong_3rd_front_2025</t>
  </si>
  <si>
    <t>NO</t>
  </si>
  <si>
    <t>YES</t>
  </si>
  <si>
    <t>Saharsa</t>
  </si>
  <si>
    <t>Patna</t>
  </si>
  <si>
    <t>Begusarai</t>
  </si>
  <si>
    <t>Samastipur</t>
  </si>
  <si>
    <t>Saran</t>
  </si>
  <si>
    <t>Vaishali</t>
  </si>
  <si>
    <t>Siwan</t>
  </si>
  <si>
    <t>Araria</t>
  </si>
  <si>
    <t>Nawada</t>
  </si>
  <si>
    <t>Chanpatia</t>
  </si>
  <si>
    <t>West Champaran</t>
  </si>
  <si>
    <t>Forbesganj</t>
  </si>
  <si>
    <t>Kishanganj</t>
  </si>
  <si>
    <t>Manihari</t>
  </si>
  <si>
    <t>Katihar</t>
  </si>
  <si>
    <t>ST</t>
  </si>
  <si>
    <t>Valmiki Nagar</t>
  </si>
  <si>
    <t>Karakat</t>
  </si>
  <si>
    <t>Rohtas</t>
  </si>
  <si>
    <t>Paliganj</t>
  </si>
  <si>
    <t>Bibhutipur</t>
  </si>
  <si>
    <t>Amour</t>
  </si>
  <si>
    <t>Purnia</t>
  </si>
  <si>
    <t>Others</t>
  </si>
  <si>
    <t>Bahadurganj</t>
  </si>
  <si>
    <t>below_2nd</t>
  </si>
  <si>
    <t>Baisi</t>
  </si>
  <si>
    <t>Jokihat</t>
  </si>
  <si>
    <t>Kochadhaman</t>
  </si>
  <si>
    <t>Ramgarh</t>
  </si>
  <si>
    <t>Kaimur</t>
  </si>
  <si>
    <t>Strong_3rd_front_2020</t>
  </si>
  <si>
    <t>NDA</t>
  </si>
  <si>
    <t>NDA_vote%_2020</t>
  </si>
  <si>
    <t>Strong_3rd_front_2015</t>
  </si>
  <si>
    <t>NDA_vote%_2015</t>
  </si>
  <si>
    <t>Madhubani</t>
  </si>
  <si>
    <t>Gaya</t>
  </si>
  <si>
    <t>Buxar</t>
  </si>
  <si>
    <t>Jamui</t>
  </si>
  <si>
    <t>East Champaran</t>
  </si>
  <si>
    <t>Aurangabad</t>
  </si>
  <si>
    <t>Muzaffrpur</t>
  </si>
  <si>
    <t>Year</t>
  </si>
  <si>
    <t>Avg_voting%_NDA</t>
  </si>
  <si>
    <t>Median_vote%_NDA</t>
  </si>
  <si>
    <t>Avg_win_margin%</t>
  </si>
  <si>
    <t>Median_Win_margin%</t>
  </si>
  <si>
    <t>Avg_Loss_margin%</t>
  </si>
  <si>
    <t>Median_Loss_margin%</t>
  </si>
  <si>
    <t>Seat_Win_NDA</t>
  </si>
  <si>
    <t>Seat_Win_MGB</t>
  </si>
  <si>
    <t>Seat_Win_Others</t>
  </si>
  <si>
    <t>Strong_3rd_front</t>
  </si>
  <si>
    <t>%_strong_3rd_compete</t>
  </si>
  <si>
    <t>Benchmark_mean_turnout</t>
  </si>
  <si>
    <t>Benchmark_SD_turnout</t>
  </si>
  <si>
    <t>Turnout_category</t>
  </si>
  <si>
    <t>NDA_result_2015</t>
  </si>
  <si>
    <t>NDA_result_2020</t>
  </si>
  <si>
    <t>NDA_result_2025</t>
  </si>
  <si>
    <t>L</t>
  </si>
  <si>
    <t>Electoral_Sequence</t>
  </si>
  <si>
    <t>Seat_type</t>
  </si>
  <si>
    <t>NDA_Margin_2015</t>
  </si>
  <si>
    <t>NDA_Margin_2020</t>
  </si>
  <si>
    <t>Top_Opposition_vote%_2015</t>
  </si>
  <si>
    <t>Top_opposition_vote%_2020</t>
  </si>
  <si>
    <t>NDA_Margin_2025</t>
  </si>
  <si>
    <t>Z-Score_Turnout</t>
  </si>
  <si>
    <t>Result_Intensity_2025</t>
  </si>
  <si>
    <t>Voter_Turnout_2025</t>
  </si>
  <si>
    <t>NDA_rank_2025</t>
  </si>
  <si>
    <t>NDA_Vote%_2025</t>
  </si>
  <si>
    <t>winner_vote%_2025</t>
  </si>
  <si>
    <t>Geo-cultural regions</t>
  </si>
  <si>
    <t>Mithila</t>
  </si>
  <si>
    <t>Magadh</t>
  </si>
  <si>
    <t>Shahabad</t>
  </si>
  <si>
    <t>Angika</t>
  </si>
  <si>
    <t>Tirhut</t>
  </si>
  <si>
    <t xml:space="preserve">Saran-Chhapra </t>
  </si>
  <si>
    <t>Seemanchal</t>
  </si>
  <si>
    <t>Macro_Geography</t>
  </si>
  <si>
    <t>North Bihar</t>
  </si>
  <si>
    <t>South Bihar</t>
  </si>
  <si>
    <t>Urbanisation</t>
  </si>
  <si>
    <t>Urbanisation_status</t>
  </si>
  <si>
    <t>State_Urbanisation</t>
  </si>
  <si>
    <t>Literacy_rate</t>
  </si>
  <si>
    <t>Female_literacy</t>
  </si>
  <si>
    <t>Density</t>
  </si>
  <si>
    <t>Sex ratio</t>
  </si>
  <si>
    <t>Above Matric Education</t>
  </si>
  <si>
    <t>FWPR_category</t>
  </si>
  <si>
    <t>Quality_education_category</t>
  </si>
  <si>
    <t>female literacy category</t>
  </si>
  <si>
    <t>Energy Consumption (MU)</t>
  </si>
  <si>
    <t>Energy_Consumption</t>
  </si>
  <si>
    <t>FWPR</t>
  </si>
  <si>
    <t>WPR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</si>
</sst>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11"/>
      <color theme="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0" fontId="0" fillId="0" borderId="0" xfId="0" applyNumberFormat="1"/>
    <xf numFmtId="10" fontId="0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10" fontId="2" fillId="2" borderId="1" xfId="1" applyNumberFormat="1" applyFont="1" applyFill="1" applyBorder="1" applyAlignment="1">
      <alignment horizontal="center" vertical="center" shrinkToFit="1"/>
    </xf>
    <xf numFmtId="0" fontId="2" fillId="2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3" borderId="0" xfId="0" applyFont="1" applyFill="1"/>
    <xf numFmtId="10" fontId="0" fillId="0" borderId="0" xfId="0" applyNumberFormat="1" applyAlignment="1">
      <alignment wrapText="1"/>
    </xf>
    <xf numFmtId="10" fontId="0" fillId="0" borderId="0" xfId="0" applyNumberFormat="1" applyAlignment="1"/>
    <xf numFmtId="0" fontId="0" fillId="0" borderId="0" xfId="0"/>
    <xf numFmtId="165" fontId="0" fillId="0" borderId="0" xfId="0" applyNumberFormat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54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</dxf>
    <dxf>
      <numFmt numFmtId="14" formatCode="0.00%"/>
    </dxf>
    <dxf>
      <numFmt numFmtId="0" formatCode="General"/>
      <alignment horizontal="center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alignment horizontal="center" vertical="center" textRotation="0" indent="0" justifyLastLine="0" readingOrder="0"/>
    </dxf>
    <dxf>
      <numFmt numFmtId="14" formatCode="0.00%"/>
      <alignment horizontal="center" vertical="center" textRotation="0" indent="0" justifyLastLine="0" readingOrder="0"/>
    </dxf>
    <dxf>
      <numFmt numFmtId="14" formatCode="0.00%"/>
      <alignment horizontal="center" vertical="center" textRotation="0" indent="0" justifyLastLine="0" readingOrder="0"/>
    </dxf>
    <dxf>
      <numFmt numFmtId="14" formatCode="0.00%"/>
      <alignment horizontal="center" vertical="center" textRotation="0" indent="0" justifyLastLine="0" readingOrder="0"/>
    </dxf>
    <dxf>
      <numFmt numFmtId="14" formatCode="0.00%"/>
      <alignment horizontal="center" vertical="center" textRotation="0" indent="0" justifyLastLine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indent="0" justifyLastLine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numFmt numFmtId="165" formatCode="0.0"/>
      <alignment horizontal="center" vertical="center" textRotation="0" wrapText="0" indent="0" justifyLastLine="0" shrinkToFit="0" readingOrder="0"/>
    </dxf>
    <dxf>
      <numFmt numFmtId="165" formatCode="0.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indent="0" justifyLastLine="0" readingOrder="0"/>
    </dxf>
    <dxf>
      <alignment horizontal="center" vertical="center" textRotation="0" indent="0" justifyLastLine="0" readingOrder="0"/>
    </dxf>
    <dxf>
      <border outline="0">
        <top style="thin">
          <color indexed="64"/>
        </top>
      </border>
    </dxf>
    <dxf>
      <alignment horizontal="center" vertical="center" textRotation="0" indent="0" justifyLastLine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AE42" totalsRowShown="0" headerRowDxfId="53" dataDxfId="51" headerRowBorderDxfId="52" tableBorderDxfId="50">
  <autoFilter ref="A1:AE42"/>
  <tableColumns count="31">
    <tableColumn id="1" name="S.no" dataDxfId="49"/>
    <tableColumn id="2" name="Constituency Name" dataDxfId="48"/>
    <tableColumn id="22" name="District" dataDxfId="47"/>
    <tableColumn id="4" name="Constituency_Type" dataDxfId="46"/>
    <tableColumn id="5" name="Voter_Turnout_2025" dataDxfId="45"/>
    <tableColumn id="23" name="Benchmark_mean_turnout" dataDxfId="44"/>
    <tableColumn id="24" name="Benchmark_SD_turnout" dataDxfId="43"/>
    <tableColumn id="25" name="Z-Score_Turnout" dataDxfId="42">
      <calculatedColumnFormula>(Table1[[#This Row],[Voter_Turnout_2025]]-Table1[[#This Row],[Benchmark_mean_turnout]])/Table1[[#This Row],[Benchmark_SD_turnout]]</calculatedColumnFormula>
    </tableColumn>
    <tableColumn id="26" name="Turnout_category" dataDxfId="41">
      <calculatedColumnFormula>IF(Table1[[#This Row],[Z-Score_Turnout]]&lt;=-1,"Ultra Low",IF(Table1[[#This Row],[Z-Score_Turnout]]&lt;0,"Low",IF(Table1[[#This Row],[Z-Score_Turnout]]&lt;=1,"High","Ultra High")))</calculatedColumnFormula>
    </tableColumn>
    <tableColumn id="6" name="2025_winner" dataDxfId="40"/>
    <tableColumn id="7" name="winner_vote%_2025" dataDxfId="39"/>
    <tableColumn id="8" name="NDA_rank_2025" dataDxfId="38"/>
    <tableColumn id="9" name="NDA_Vote%_2025" dataDxfId="37"/>
    <tableColumn id="40" name="NDA_Margin_2025" dataDxfId="36"/>
    <tableColumn id="41" name="Result_Intensity_2025" dataDxfId="35">
      <calculatedColumnFormula>IF(Table1[[#This Row],[NDA_Margin_2025]]&lt;-15%,"Landslide Loss",IF(Table1[[#This Row],[NDA_Margin_2025]]&lt;-10%,"Heavy Loss",IF(Table1[[#This Row],[NDA_Margin_2025]]&lt;-4%,"Moderate Loss",IF(Table1[[#This Row],[NDA_Margin_2025]]&lt;-1.5%,"Close Loss","Narrow Loss"))))</calculatedColumnFormula>
    </tableColumn>
    <tableColumn id="11" name="Strong_3rd_front_2025" dataDxfId="34"/>
    <tableColumn id="12" name="2020_winner" dataDxfId="33"/>
    <tableColumn id="13" name="NDA_vote%_2020" dataDxfId="32" dataCellStyle="Percent"/>
    <tableColumn id="37" name="Top_opposition_vote%_2020" dataDxfId="31" dataCellStyle="Percent"/>
    <tableColumn id="36" name="NDA_Margin_2020" dataDxfId="30" dataCellStyle="Percent"/>
    <tableColumn id="16" name="Strong_3rd_front_2020" dataDxfId="29"/>
    <tableColumn id="17" name="2015_winner" dataDxfId="28" dataCellStyle="Percent"/>
    <tableColumn id="18" name="NDA_vote%_2015" dataDxfId="27"/>
    <tableColumn id="32" name="Top_Opposition_vote%_2015" dataDxfId="26"/>
    <tableColumn id="33" name="NDA_Margin_2015" dataDxfId="25"/>
    <tableColumn id="21" name="Strong_3rd_front_2015" dataDxfId="24"/>
    <tableColumn id="3" name="NDA_result_2015" dataDxfId="23">
      <calculatedColumnFormula>IF(Table1[[#This Row],[2015_winner]]="NDA","W","L")</calculatedColumnFormula>
    </tableColumn>
    <tableColumn id="27" name="NDA_result_2020" dataDxfId="22">
      <calculatedColumnFormula>IF(Table1[[#This Row],[2020_winner]]="NDA","W","L")</calculatedColumnFormula>
    </tableColumn>
    <tableColumn id="28" name="NDA_result_2025" dataDxfId="21"/>
    <tableColumn id="29" name="Electoral_Sequence" dataDxfId="20">
      <calculatedColumnFormula>Table1[[#This Row],[NDA_result_2015]]  &amp; "-" &amp; Table1[[#This Row],[NDA_result_2020]] &amp; "-" &amp; Table1[[#This Row],[NDA_result_2025]]</calculatedColumnFormula>
    </tableColumn>
    <tableColumn id="30" name="Seat_type" dataDxfId="19">
      <calculatedColumnFormula>IF(Table1[[#This Row],[Electoral_Sequence]]="W-W-L","Core Collapse",IF(Table1[[#This Row],[Electoral_Sequence]]="L-W-L","Swing Seat",IF(Table1[[#This Row],[Electoral_Sequence]]="W-L-L","Early Decline","Chronic Weak")))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R25" totalsRowShown="0" headerRowDxfId="18" headerRowBorderDxfId="17" tableBorderDxfId="16">
  <autoFilter ref="A1:R25"/>
  <sortState ref="A2:K25">
    <sortCondition ref="A1:A25"/>
  </sortState>
  <tableColumns count="18">
    <tableColumn id="1" name="District"/>
    <tableColumn id="2" name="Geo-cultural regions"/>
    <tableColumn id="3" name="Macro_Geography"/>
    <tableColumn id="4" name="Urbanisation" dataDxfId="15"/>
    <tableColumn id="5" name="State_Urbanisation" dataDxfId="14"/>
    <tableColumn id="6" name="Urbanisation_status">
      <calculatedColumnFormula>IF(D2&gt;E2+7.41%,"High Urbanisation",IF(D2&gt;E2,"Moderate Urbanisation",IF(D2&gt;E2-7.41%,"low Urbanisation","Ultra low Urbanisation")))</calculatedColumnFormula>
    </tableColumn>
    <tableColumn id="11" name="Literacy_rate"/>
    <tableColumn id="12" name="Female_literacy"/>
    <tableColumn id="18" name="female literacy category" dataDxfId="13">
      <calculatedColumnFormula>IF(Table4[[#This Row],[Female_literacy]]&gt;=57%,"High",IF(Table4[[#This Row],[Female_literacy]]&gt;=50%,"Moderate",IF(Table4[[#This Row],[Female_literacy]]&gt;= 44%,"Low","Very Low")))</calculatedColumnFormula>
    </tableColumn>
    <tableColumn id="9" name="Density"/>
    <tableColumn id="10" name="Sex ratio"/>
    <tableColumn id="7" name="WPR" dataDxfId="12"/>
    <tableColumn id="15" name="FWPR" dataDxfId="11"/>
    <tableColumn id="13" name="FWPR_category" dataDxfId="10">
      <calculatedColumnFormula>IF(Table4[[#This Row],[FWPR]]&gt;= 24%,"HIGH",IF(Table4[[#This Row],[FWPR]]&gt;= 19.5%,"MODERATE",IF(Table4[[#This Row],[FWPR]]&gt;=14%, "LOW","VERY LOW")))</calculatedColumnFormula>
    </tableColumn>
    <tableColumn id="16" name="Above Matric Education" dataDxfId="9"/>
    <tableColumn id="14" name="Quality_education_category" dataDxfId="8">
      <calculatedColumnFormula>IF(Table4[[#This Row],[Above Matric Education]]&gt;=40%,"High Educated",IF(Table4[[#This Row],[Above Matric Education]]&gt;=30%,"Modrate Educated",IF(Table4[[#This Row],[Above Matric Education]]&gt;=20%,"Low Educated","Very Low Educated")))</calculatedColumnFormula>
    </tableColumn>
    <tableColumn id="17" name="Energy Consumption (MU)" dataDxfId="7"/>
    <tableColumn id="19" name="Energy_Consumption" dataDxfId="6">
      <calculatedColumnFormula>IF(Table4[[#This Row],[Energy Consumption (MU)]]&gt;=1250,"High",IF(Table4[[#This Row],[Energy Consumption (MU)]]&gt;=825,"Moderate",IF(Table4[[#This Row],[Energy Consumption (MU)]]&gt;=400,"Low","Very Low")))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L4" totalsRowShown="0" headerRowDxfId="5">
  <autoFilter ref="A1:L4"/>
  <tableColumns count="12">
    <tableColumn id="1" name="Year"/>
    <tableColumn id="2" name="Avg_voting%_NDA" dataDxfId="4"/>
    <tableColumn id="3" name="Median_vote%_NDA"/>
    <tableColumn id="4" name="Avg_win_margin%"/>
    <tableColumn id="5" name="Median_Win_margin%" dataDxfId="3"/>
    <tableColumn id="6" name="Avg_Loss_margin%" dataDxfId="2"/>
    <tableColumn id="7" name="Median_Loss_margin%" dataDxfId="1"/>
    <tableColumn id="8" name="Seat_Win_NDA"/>
    <tableColumn id="9" name="Seat_Win_MGB"/>
    <tableColumn id="10" name="Seat_Win_Others"/>
    <tableColumn id="11" name="Strong_3rd_front"/>
    <tableColumn id="12" name="%_strong_3rd_compete" dataDxfId="0">
      <calculatedColumnFormula>(K2/41)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theme="9" tint="-0.249977111117893"/>
  </sheetPr>
  <dimension ref="A1:AE43"/>
  <sheetViews>
    <sheetView topLeftCell="E20" zoomScaleNormal="100" workbookViewId="0">
      <selection activeCell="H20" sqref="H20"/>
    </sheetView>
  </sheetViews>
  <sheetFormatPr defaultRowHeight="15" x14ac:dyDescent="0.25"/>
  <cols>
    <col min="2" max="2" width="23.140625" bestFit="1" customWidth="1"/>
    <col min="3" max="3" width="16.140625" bestFit="1" customWidth="1"/>
    <col min="4" max="4" width="22.7109375" bestFit="1" customWidth="1"/>
    <col min="5" max="5" width="23.85546875" bestFit="1" customWidth="1"/>
    <col min="6" max="6" width="29.5703125" style="17" bestFit="1" customWidth="1"/>
    <col min="7" max="7" width="26.85546875" style="17" bestFit="1" customWidth="1"/>
    <col min="8" max="8" width="20.28515625" style="17" bestFit="1" customWidth="1"/>
    <col min="9" max="9" width="21.28515625" style="17" bestFit="1" customWidth="1"/>
    <col min="10" max="10" width="16.85546875" bestFit="1" customWidth="1"/>
    <col min="11" max="11" width="23.7109375" bestFit="1" customWidth="1"/>
    <col min="12" max="12" width="19.5703125" bestFit="1" customWidth="1"/>
    <col min="13" max="13" width="21.5703125" bestFit="1" customWidth="1"/>
    <col min="14" max="14" width="22.140625" bestFit="1" customWidth="1"/>
    <col min="15" max="15" width="26" style="20" bestFit="1" customWidth="1"/>
    <col min="16" max="16" width="26" bestFit="1" customWidth="1"/>
    <col min="17" max="17" width="21.28515625" bestFit="1" customWidth="1"/>
    <col min="18" max="18" width="31.5703125" style="2" bestFit="1" customWidth="1"/>
    <col min="19" max="19" width="26.5703125" style="2" bestFit="1" customWidth="1"/>
    <col min="20" max="20" width="31.5703125" style="2" bestFit="1" customWidth="1"/>
    <col min="21" max="21" width="26.5703125" style="2" customWidth="1"/>
    <col min="22" max="22" width="26" bestFit="1" customWidth="1"/>
    <col min="23" max="23" width="31.85546875" bestFit="1" customWidth="1"/>
    <col min="24" max="24" width="31.85546875" style="1" bestFit="1" customWidth="1"/>
    <col min="25" max="25" width="31.85546875" bestFit="1" customWidth="1"/>
    <col min="26" max="26" width="23.85546875" style="17" bestFit="1" customWidth="1"/>
    <col min="27" max="27" width="27.7109375" bestFit="1" customWidth="1"/>
    <col min="28" max="29" width="22.7109375" bestFit="1" customWidth="1"/>
    <col min="30" max="30" width="23.28515625" bestFit="1" customWidth="1"/>
    <col min="31" max="31" width="24.42578125" bestFit="1" customWidth="1"/>
    <col min="32" max="32" width="15.85546875" bestFit="1" customWidth="1"/>
  </cols>
  <sheetData>
    <row r="1" spans="1:31" x14ac:dyDescent="0.25">
      <c r="A1" s="4" t="s">
        <v>0</v>
      </c>
      <c r="B1" s="4" t="s">
        <v>1</v>
      </c>
      <c r="C1" s="4" t="s">
        <v>2</v>
      </c>
      <c r="D1" s="5" t="s">
        <v>31</v>
      </c>
      <c r="E1" s="5" t="s">
        <v>110</v>
      </c>
      <c r="F1" s="5" t="s">
        <v>94</v>
      </c>
      <c r="G1" s="5" t="s">
        <v>95</v>
      </c>
      <c r="H1" s="5" t="s">
        <v>108</v>
      </c>
      <c r="I1" s="5" t="s">
        <v>96</v>
      </c>
      <c r="J1" s="4" t="s">
        <v>3</v>
      </c>
      <c r="K1" s="5" t="s">
        <v>113</v>
      </c>
      <c r="L1" s="5" t="s">
        <v>111</v>
      </c>
      <c r="M1" s="5" t="s">
        <v>112</v>
      </c>
      <c r="N1" s="5" t="s">
        <v>107</v>
      </c>
      <c r="O1" s="5" t="s">
        <v>109</v>
      </c>
      <c r="P1" s="5" t="s">
        <v>36</v>
      </c>
      <c r="Q1" s="5" t="s">
        <v>4</v>
      </c>
      <c r="R1" s="6" t="s">
        <v>72</v>
      </c>
      <c r="S1" s="6" t="s">
        <v>106</v>
      </c>
      <c r="T1" s="6" t="s">
        <v>104</v>
      </c>
      <c r="U1" s="5" t="s">
        <v>70</v>
      </c>
      <c r="V1" s="5" t="s">
        <v>5</v>
      </c>
      <c r="W1" s="7" t="s">
        <v>74</v>
      </c>
      <c r="X1" s="5" t="s">
        <v>105</v>
      </c>
      <c r="Y1" s="5" t="s">
        <v>103</v>
      </c>
      <c r="Z1" s="5" t="s">
        <v>73</v>
      </c>
      <c r="AA1" s="19" t="s">
        <v>97</v>
      </c>
      <c r="AB1" s="19" t="s">
        <v>98</v>
      </c>
      <c r="AC1" s="19" t="s">
        <v>99</v>
      </c>
      <c r="AD1" s="19" t="s">
        <v>101</v>
      </c>
      <c r="AE1" s="19" t="s">
        <v>102</v>
      </c>
    </row>
    <row r="2" spans="1:31" x14ac:dyDescent="0.25">
      <c r="A2" s="8">
        <v>1</v>
      </c>
      <c r="B2" s="3" t="s">
        <v>30</v>
      </c>
      <c r="C2" s="3" t="s">
        <v>75</v>
      </c>
      <c r="D2" s="8" t="s">
        <v>32</v>
      </c>
      <c r="E2" s="9">
        <v>0.63400000000000001</v>
      </c>
      <c r="F2" s="9">
        <v>0.60968998628257842</v>
      </c>
      <c r="G2" s="9">
        <v>6.8912400775611879E-2</v>
      </c>
      <c r="H2" s="18">
        <f>(Table1[[#This Row],[Voter_Turnout_2025]]-Table1[[#This Row],[Benchmark_mean_turnout]])/Table1[[#This Row],[Benchmark_SD_turnout]]</f>
        <v>0.35276689599856326</v>
      </c>
      <c r="I2" s="18" t="str">
        <f>IF(Table1[[#This Row],[Z-Score_Turnout]]&lt;=-1,"Ultra Low",IF(Table1[[#This Row],[Z-Score_Turnout]]&lt;0,"Low",IF(Table1[[#This Row],[Z-Score_Turnout]]&lt;=1,"High","Ultra High")))</f>
        <v>High</v>
      </c>
      <c r="J2" s="8" t="s">
        <v>33</v>
      </c>
      <c r="K2" s="9">
        <v>0.48599999999999999</v>
      </c>
      <c r="L2" s="8" t="s">
        <v>34</v>
      </c>
      <c r="M2" s="9">
        <v>0.44700000000000001</v>
      </c>
      <c r="N2" s="9">
        <v>-3.9E-2</v>
      </c>
      <c r="O2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2" s="8" t="s">
        <v>37</v>
      </c>
      <c r="Q2" s="8" t="s">
        <v>71</v>
      </c>
      <c r="R2" s="10">
        <v>0.49199999999999999</v>
      </c>
      <c r="S2" s="10">
        <v>0.434</v>
      </c>
      <c r="T2" s="10">
        <v>5.8000000000000003E-2</v>
      </c>
      <c r="U2" s="8" t="s">
        <v>37</v>
      </c>
      <c r="V2" s="10" t="s">
        <v>33</v>
      </c>
      <c r="W2" s="9">
        <v>0.223</v>
      </c>
      <c r="X2" s="9">
        <v>0.44400000000000001</v>
      </c>
      <c r="Y2" s="9">
        <v>-0.221</v>
      </c>
      <c r="Z2" s="9" t="s">
        <v>38</v>
      </c>
      <c r="AA2" s="9" t="str">
        <f>IF(Table1[[#This Row],[2015_winner]]="NDA","W","L")</f>
        <v>L</v>
      </c>
      <c r="AB2" s="9" t="str">
        <f>IF(Table1[[#This Row],[2020_winner]]="NDA","W","L")</f>
        <v>W</v>
      </c>
      <c r="AC2" s="9" t="s">
        <v>100</v>
      </c>
      <c r="AD2" s="9" t="str">
        <f>Table1[[#This Row],[NDA_result_2015]]  &amp; "-" &amp; Table1[[#This Row],[NDA_result_2020]] &amp; "-" &amp; Table1[[#This Row],[NDA_result_2025]]</f>
        <v>L-W-L</v>
      </c>
      <c r="AE2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3" spans="1:31" x14ac:dyDescent="0.25">
      <c r="A3" s="8">
        <v>2</v>
      </c>
      <c r="B3" s="8" t="s">
        <v>6</v>
      </c>
      <c r="C3" s="8" t="s">
        <v>76</v>
      </c>
      <c r="D3" s="8" t="s">
        <v>35</v>
      </c>
      <c r="E3" s="9">
        <v>0.71099999999999997</v>
      </c>
      <c r="F3" s="9">
        <v>0.60968998628257842</v>
      </c>
      <c r="G3" s="9">
        <v>6.8912400775611879E-2</v>
      </c>
      <c r="H3" s="18">
        <f>(Table1[[#This Row],[Voter_Turnout_2025]]-Table1[[#This Row],[Benchmark_mean_turnout]])/Table1[[#This Row],[Benchmark_SD_turnout]]</f>
        <v>1.47012747454991</v>
      </c>
      <c r="I3" s="18" t="str">
        <f>IF(Table1[[#This Row],[Z-Score_Turnout]]&lt;=-1,"Ultra Low",IF(Table1[[#This Row],[Z-Score_Turnout]]&lt;0,"Low",IF(Table1[[#This Row],[Z-Score_Turnout]]&lt;=1,"High","Ultra High")))</f>
        <v>Ultra High</v>
      </c>
      <c r="J3" s="8" t="s">
        <v>33</v>
      </c>
      <c r="K3" s="9">
        <v>0.434</v>
      </c>
      <c r="L3" s="8" t="s">
        <v>34</v>
      </c>
      <c r="M3" s="9">
        <v>0.43</v>
      </c>
      <c r="N3" s="9">
        <v>-4.0000000000000001E-3</v>
      </c>
      <c r="O3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3" s="8" t="s">
        <v>37</v>
      </c>
      <c r="Q3" s="8" t="s">
        <v>33</v>
      </c>
      <c r="R3" s="10">
        <v>0.39900000000000002</v>
      </c>
      <c r="S3" s="10">
        <v>0.42400000000000004</v>
      </c>
      <c r="T3" s="10">
        <v>-2.5000000000000001E-2</v>
      </c>
      <c r="U3" s="8" t="s">
        <v>37</v>
      </c>
      <c r="V3" s="10" t="s">
        <v>33</v>
      </c>
      <c r="W3" s="9">
        <v>0.3155</v>
      </c>
      <c r="X3" s="9">
        <v>0.49980000000000002</v>
      </c>
      <c r="Y3" s="9">
        <v>-0.18429999999999999</v>
      </c>
      <c r="Z3" s="9" t="s">
        <v>37</v>
      </c>
      <c r="AA3" s="9" t="str">
        <f>IF(Table1[[#This Row],[2015_winner]]="NDA","W","L")</f>
        <v>L</v>
      </c>
      <c r="AB3" s="9" t="str">
        <f>IF(Table1[[#This Row],[2020_winner]]="NDA","W","L")</f>
        <v>L</v>
      </c>
      <c r="AC3" s="9" t="s">
        <v>100</v>
      </c>
      <c r="AD3" s="9" t="str">
        <f>Table1[[#This Row],[NDA_result_2015]]  &amp; "-" &amp; Table1[[#This Row],[NDA_result_2020]] &amp; "-" &amp; Table1[[#This Row],[NDA_result_2025]]</f>
        <v>L-L-L</v>
      </c>
      <c r="AE3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4" spans="1:31" x14ac:dyDescent="0.25">
      <c r="A4" s="8">
        <v>3</v>
      </c>
      <c r="B4" s="8" t="s">
        <v>7</v>
      </c>
      <c r="C4" s="8" t="s">
        <v>77</v>
      </c>
      <c r="D4" s="8" t="s">
        <v>32</v>
      </c>
      <c r="E4" s="9">
        <v>0.60499999999999998</v>
      </c>
      <c r="F4" s="9">
        <v>0.60968998628257842</v>
      </c>
      <c r="G4" s="9">
        <v>6.8912400775611879E-2</v>
      </c>
      <c r="H4" s="18">
        <f>(Table1[[#This Row],[Voter_Turnout_2025]]-Table1[[#This Row],[Benchmark_mean_turnout]])/Table1[[#This Row],[Benchmark_SD_turnout]]</f>
        <v>-6.8057218001295175E-2</v>
      </c>
      <c r="I4" s="18" t="str">
        <f>IF(Table1[[#This Row],[Z-Score_Turnout]]&lt;=-1,"Ultra Low",IF(Table1[[#This Row],[Z-Score_Turnout]]&lt;0,"Low",IF(Table1[[#This Row],[Z-Score_Turnout]]&lt;=1,"High","Ultra High")))</f>
        <v>Low</v>
      </c>
      <c r="J4" s="8" t="s">
        <v>33</v>
      </c>
      <c r="K4" s="9">
        <v>0.46400000000000002</v>
      </c>
      <c r="L4" s="8" t="s">
        <v>34</v>
      </c>
      <c r="M4" s="9">
        <v>0.44900000000000001</v>
      </c>
      <c r="N4" s="9">
        <v>-1.4999999999999999E-2</v>
      </c>
      <c r="O4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4" s="8" t="s">
        <v>37</v>
      </c>
      <c r="Q4" s="8" t="s">
        <v>33</v>
      </c>
      <c r="R4" s="10">
        <v>0.16700000000000001</v>
      </c>
      <c r="S4" s="10">
        <v>0.49299999999999999</v>
      </c>
      <c r="T4" s="10">
        <v>-0.32600000000000001</v>
      </c>
      <c r="U4" s="8" t="s">
        <v>38</v>
      </c>
      <c r="V4" s="10" t="s">
        <v>33</v>
      </c>
      <c r="W4" s="9">
        <v>0.35</v>
      </c>
      <c r="X4" s="9">
        <v>0.52</v>
      </c>
      <c r="Y4" s="9">
        <v>-0.17</v>
      </c>
      <c r="Z4" s="9" t="s">
        <v>37</v>
      </c>
      <c r="AA4" s="9" t="str">
        <f>IF(Table1[[#This Row],[2015_winner]]="NDA","W","L")</f>
        <v>L</v>
      </c>
      <c r="AB4" s="9" t="str">
        <f>IF(Table1[[#This Row],[2020_winner]]="NDA","W","L")</f>
        <v>L</v>
      </c>
      <c r="AC4" s="9" t="s">
        <v>100</v>
      </c>
      <c r="AD4" s="9" t="str">
        <f>Table1[[#This Row],[NDA_result_2015]]  &amp; "-" &amp; Table1[[#This Row],[NDA_result_2020]] &amp; "-" &amp; Table1[[#This Row],[NDA_result_2025]]</f>
        <v>L-L-L</v>
      </c>
      <c r="AE4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5" spans="1:31" x14ac:dyDescent="0.25">
      <c r="A5" s="8">
        <v>4</v>
      </c>
      <c r="B5" s="8" t="s">
        <v>8</v>
      </c>
      <c r="C5" s="8" t="s">
        <v>78</v>
      </c>
      <c r="D5" s="8" t="s">
        <v>32</v>
      </c>
      <c r="E5" s="9">
        <v>0.73099999999999998</v>
      </c>
      <c r="F5" s="9">
        <v>0.60968998628257842</v>
      </c>
      <c r="G5" s="9">
        <v>6.8912400775611879E-2</v>
      </c>
      <c r="H5" s="18">
        <f>(Table1[[#This Row],[Voter_Turnout_2025]]-Table1[[#This Row],[Benchmark_mean_turnout]])/Table1[[#This Row],[Benchmark_SD_turnout]]</f>
        <v>1.7603510014463639</v>
      </c>
      <c r="I5" s="18" t="str">
        <f>IF(Table1[[#This Row],[Z-Score_Turnout]]&lt;=-1,"Ultra Low",IF(Table1[[#This Row],[Z-Score_Turnout]]&lt;0,"Low",IF(Table1[[#This Row],[Z-Score_Turnout]]&lt;=1,"High","Ultra High")))</f>
        <v>Ultra High</v>
      </c>
      <c r="J5" s="8" t="s">
        <v>33</v>
      </c>
      <c r="K5" s="9">
        <v>0.34499999999999997</v>
      </c>
      <c r="L5" s="8" t="s">
        <v>34</v>
      </c>
      <c r="M5" s="11">
        <v>0.28899999999999998</v>
      </c>
      <c r="N5" s="9">
        <v>-5.6000000000000001E-2</v>
      </c>
      <c r="O5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5" s="8" t="s">
        <v>38</v>
      </c>
      <c r="Q5" s="8" t="s">
        <v>62</v>
      </c>
      <c r="R5" s="12">
        <v>0.215</v>
      </c>
      <c r="S5" s="10">
        <v>0.249</v>
      </c>
      <c r="T5" s="10">
        <v>-3.4000000000000002E-2</v>
      </c>
      <c r="U5" s="8" t="s">
        <v>38</v>
      </c>
      <c r="V5" s="10" t="s">
        <v>33</v>
      </c>
      <c r="W5" s="9">
        <v>0.19</v>
      </c>
      <c r="X5" s="9">
        <v>0.313</v>
      </c>
      <c r="Y5" s="9">
        <v>-0.123</v>
      </c>
      <c r="Z5" s="11" t="s">
        <v>38</v>
      </c>
      <c r="AA5" s="9" t="str">
        <f>IF(Table1[[#This Row],[2015_winner]]="NDA","W","L")</f>
        <v>L</v>
      </c>
      <c r="AB5" s="9" t="str">
        <f>IF(Table1[[#This Row],[2020_winner]]="NDA","W","L")</f>
        <v>L</v>
      </c>
      <c r="AC5" s="9" t="s">
        <v>100</v>
      </c>
      <c r="AD5" s="9" t="str">
        <f>Table1[[#This Row],[NDA_result_2015]]  &amp; "-" &amp; Table1[[#This Row],[NDA_result_2020]] &amp; "-" &amp; Table1[[#This Row],[NDA_result_2025]]</f>
        <v>L-L-L</v>
      </c>
      <c r="AE5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6" spans="1:31" x14ac:dyDescent="0.25">
      <c r="A6" s="8">
        <v>5</v>
      </c>
      <c r="B6" s="8" t="s">
        <v>9</v>
      </c>
      <c r="C6" s="8" t="s">
        <v>79</v>
      </c>
      <c r="D6" s="8" t="s">
        <v>32</v>
      </c>
      <c r="E6" s="11">
        <v>0.73799999999999999</v>
      </c>
      <c r="F6" s="9">
        <v>0.60968998628257842</v>
      </c>
      <c r="G6" s="9">
        <v>6.8912400775611879E-2</v>
      </c>
      <c r="H6" s="18">
        <f>(Table1[[#This Row],[Voter_Turnout_2025]]-Table1[[#This Row],[Benchmark_mean_turnout]])/Table1[[#This Row],[Benchmark_SD_turnout]]</f>
        <v>1.8619292358601229</v>
      </c>
      <c r="I6" s="18" t="str">
        <f>IF(Table1[[#This Row],[Z-Score_Turnout]]&lt;=-1,"Ultra Low",IF(Table1[[#This Row],[Z-Score_Turnout]]&lt;0,"Low",IF(Table1[[#This Row],[Z-Score_Turnout]]&lt;=1,"High","Ultra High")))</f>
        <v>Ultra High</v>
      </c>
      <c r="J6" s="8" t="s">
        <v>33</v>
      </c>
      <c r="K6" s="11">
        <v>0.45700000000000002</v>
      </c>
      <c r="L6" s="8" t="s">
        <v>34</v>
      </c>
      <c r="M6" s="11">
        <v>0.45600000000000002</v>
      </c>
      <c r="N6" s="9">
        <v>-1E-3</v>
      </c>
      <c r="O6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6" s="8" t="s">
        <v>37</v>
      </c>
      <c r="Q6" s="8" t="s">
        <v>71</v>
      </c>
      <c r="R6" s="10">
        <v>0.48699999999999999</v>
      </c>
      <c r="S6" s="10">
        <v>0.438</v>
      </c>
      <c r="T6" s="10">
        <v>4.9000000000000002E-2</v>
      </c>
      <c r="U6" s="8" t="s">
        <v>37</v>
      </c>
      <c r="V6" s="10" t="s">
        <v>33</v>
      </c>
      <c r="W6" s="9">
        <v>0.36699999999999999</v>
      </c>
      <c r="X6" s="9">
        <v>0.47</v>
      </c>
      <c r="Y6" s="9">
        <v>-0.10299999999999999</v>
      </c>
      <c r="Z6" s="11" t="s">
        <v>37</v>
      </c>
      <c r="AA6" s="9" t="str">
        <f>IF(Table1[[#This Row],[2015_winner]]="NDA","W","L")</f>
        <v>L</v>
      </c>
      <c r="AB6" s="9" t="str">
        <f>IF(Table1[[#This Row],[2020_winner]]="NDA","W","L")</f>
        <v>W</v>
      </c>
      <c r="AC6" s="9" t="s">
        <v>100</v>
      </c>
      <c r="AD6" s="9" t="str">
        <f>Table1[[#This Row],[NDA_result_2015]]  &amp; "-" &amp; Table1[[#This Row],[NDA_result_2020]] &amp; "-" &amp; Table1[[#This Row],[NDA_result_2025]]</f>
        <v>L-W-L</v>
      </c>
      <c r="AE6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7" spans="1:31" x14ac:dyDescent="0.25">
      <c r="A7" s="8">
        <v>6</v>
      </c>
      <c r="B7" s="8" t="s">
        <v>10</v>
      </c>
      <c r="C7" s="8" t="s">
        <v>40</v>
      </c>
      <c r="D7" s="8" t="s">
        <v>32</v>
      </c>
      <c r="E7" s="11">
        <v>0.69599999999999995</v>
      </c>
      <c r="F7" s="9">
        <v>0.60968998628257842</v>
      </c>
      <c r="G7" s="9">
        <v>6.8912400775611879E-2</v>
      </c>
      <c r="H7" s="18">
        <f>(Table1[[#This Row],[Voter_Turnout_2025]]-Table1[[#This Row],[Benchmark_mean_turnout]])/Table1[[#This Row],[Benchmark_SD_turnout]]</f>
        <v>1.2524598293775693</v>
      </c>
      <c r="I7" s="18" t="str">
        <f>IF(Table1[[#This Row],[Z-Score_Turnout]]&lt;=-1,"Ultra Low",IF(Table1[[#This Row],[Z-Score_Turnout]]&lt;0,"Low",IF(Table1[[#This Row],[Z-Score_Turnout]]&lt;=1,"High","Ultra High")))</f>
        <v>Ultra High</v>
      </c>
      <c r="J7" s="8" t="s">
        <v>33</v>
      </c>
      <c r="K7" s="11">
        <v>0.45700000000000002</v>
      </c>
      <c r="L7" s="8" t="s">
        <v>34</v>
      </c>
      <c r="M7" s="11">
        <v>0.41700000000000004</v>
      </c>
      <c r="N7" s="9">
        <v>-0.04</v>
      </c>
      <c r="O7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7" s="8" t="s">
        <v>37</v>
      </c>
      <c r="Q7" s="8" t="s">
        <v>33</v>
      </c>
      <c r="R7" s="10">
        <v>0.51100000000000001</v>
      </c>
      <c r="S7" s="10">
        <v>0.626</v>
      </c>
      <c r="T7" s="10">
        <v>-0.115</v>
      </c>
      <c r="U7" s="8" t="s">
        <v>37</v>
      </c>
      <c r="V7" s="10" t="s">
        <v>33</v>
      </c>
      <c r="W7" s="9">
        <v>0.30599999999999999</v>
      </c>
      <c r="X7" s="9">
        <v>0.505</v>
      </c>
      <c r="Y7" s="9">
        <v>-0.19900000000000001</v>
      </c>
      <c r="Z7" s="11" t="s">
        <v>37</v>
      </c>
      <c r="AA7" s="9" t="str">
        <f>IF(Table1[[#This Row],[2015_winner]]="NDA","W","L")</f>
        <v>L</v>
      </c>
      <c r="AB7" s="9" t="str">
        <f>IF(Table1[[#This Row],[2020_winner]]="NDA","W","L")</f>
        <v>L</v>
      </c>
      <c r="AC7" s="9" t="s">
        <v>100</v>
      </c>
      <c r="AD7" s="9" t="str">
        <f>Table1[[#This Row],[NDA_result_2015]]  &amp; "-" &amp; Table1[[#This Row],[NDA_result_2020]] &amp; "-" &amp; Table1[[#This Row],[NDA_result_2025]]</f>
        <v>L-L-L</v>
      </c>
      <c r="AE7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8" spans="1:31" x14ac:dyDescent="0.25">
      <c r="A8" s="8">
        <v>7</v>
      </c>
      <c r="B8" s="8" t="s">
        <v>11</v>
      </c>
      <c r="C8" s="8" t="s">
        <v>43</v>
      </c>
      <c r="D8" s="8" t="s">
        <v>35</v>
      </c>
      <c r="E8" s="9">
        <v>0.65800000000000003</v>
      </c>
      <c r="F8" s="9">
        <v>0.60968998628257842</v>
      </c>
      <c r="G8" s="9">
        <v>6.8912400775611879E-2</v>
      </c>
      <c r="H8" s="18">
        <f>(Table1[[#This Row],[Voter_Turnout_2025]]-Table1[[#This Row],[Benchmark_mean_turnout]])/Table1[[#This Row],[Benchmark_SD_turnout]]</f>
        <v>0.70103512827430814</v>
      </c>
      <c r="I8" s="18" t="str">
        <f>IF(Table1[[#This Row],[Z-Score_Turnout]]&lt;=-1,"Ultra Low",IF(Table1[[#This Row],[Z-Score_Turnout]]&lt;0,"Low",IF(Table1[[#This Row],[Z-Score_Turnout]]&lt;=1,"High","Ultra High")))</f>
        <v>High</v>
      </c>
      <c r="J8" s="8" t="s">
        <v>33</v>
      </c>
      <c r="K8" s="11">
        <v>0.44799999999999995</v>
      </c>
      <c r="L8" s="8" t="s">
        <v>34</v>
      </c>
      <c r="M8" s="11">
        <v>0.38500000000000001</v>
      </c>
      <c r="N8" s="9">
        <v>-6.3E-2</v>
      </c>
      <c r="O8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8" s="8" t="s">
        <v>37</v>
      </c>
      <c r="Q8" s="8" t="s">
        <v>33</v>
      </c>
      <c r="R8" s="10">
        <v>0.42499999999999999</v>
      </c>
      <c r="S8" s="10">
        <v>0.48299999999999998</v>
      </c>
      <c r="T8" s="10">
        <v>-5.8000000000000003E-2</v>
      </c>
      <c r="U8" s="8" t="s">
        <v>37</v>
      </c>
      <c r="V8" s="10" t="s">
        <v>33</v>
      </c>
      <c r="W8" s="9">
        <v>0.313</v>
      </c>
      <c r="X8" s="9">
        <v>0.56600000000000006</v>
      </c>
      <c r="Y8" s="9">
        <v>-0.253</v>
      </c>
      <c r="Z8" s="11" t="s">
        <v>37</v>
      </c>
      <c r="AA8" s="9" t="str">
        <f>IF(Table1[[#This Row],[2015_winner]]="NDA","W","L")</f>
        <v>L</v>
      </c>
      <c r="AB8" s="9" t="str">
        <f>IF(Table1[[#This Row],[2020_winner]]="NDA","W","L")</f>
        <v>L</v>
      </c>
      <c r="AC8" s="9" t="s">
        <v>100</v>
      </c>
      <c r="AD8" s="9" t="str">
        <f>Table1[[#This Row],[NDA_result_2015]]  &amp; "-" &amp; Table1[[#This Row],[NDA_result_2020]] &amp; "-" &amp; Table1[[#This Row],[NDA_result_2025]]</f>
        <v>L-L-L</v>
      </c>
      <c r="AE8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9" spans="1:31" x14ac:dyDescent="0.25">
      <c r="A9" s="8">
        <v>8</v>
      </c>
      <c r="B9" s="8" t="s">
        <v>12</v>
      </c>
      <c r="C9" s="8" t="s">
        <v>80</v>
      </c>
      <c r="D9" s="8" t="s">
        <v>32</v>
      </c>
      <c r="E9" s="9">
        <v>0.67900000000000005</v>
      </c>
      <c r="F9" s="9">
        <v>0.60968998628257842</v>
      </c>
      <c r="G9" s="9">
        <v>6.8912400775611879E-2</v>
      </c>
      <c r="H9" s="18">
        <f>(Table1[[#This Row],[Voter_Turnout_2025]]-Table1[[#This Row],[Benchmark_mean_turnout]])/Table1[[#This Row],[Benchmark_SD_turnout]]</f>
        <v>1.005769831515585</v>
      </c>
      <c r="I9" s="18" t="str">
        <f>IF(Table1[[#This Row],[Z-Score_Turnout]]&lt;=-1,"Ultra Low",IF(Table1[[#This Row],[Z-Score_Turnout]]&lt;0,"Low",IF(Table1[[#This Row],[Z-Score_Turnout]]&lt;=1,"High","Ultra High")))</f>
        <v>Ultra High</v>
      </c>
      <c r="J9" s="8" t="s">
        <v>33</v>
      </c>
      <c r="K9" s="11">
        <v>0.442</v>
      </c>
      <c r="L9" s="8" t="s">
        <v>34</v>
      </c>
      <c r="M9" s="11">
        <v>0.42299999999999999</v>
      </c>
      <c r="N9" s="9">
        <v>-1.9E-2</v>
      </c>
      <c r="O9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9" s="8" t="s">
        <v>37</v>
      </c>
      <c r="Q9" s="8" t="s">
        <v>33</v>
      </c>
      <c r="R9" s="10">
        <v>0.25</v>
      </c>
      <c r="S9" s="10">
        <v>0.44500000000000001</v>
      </c>
      <c r="T9" s="10">
        <v>-0.19500000000000001</v>
      </c>
      <c r="U9" s="8" t="s">
        <v>37</v>
      </c>
      <c r="V9" s="10" t="s">
        <v>71</v>
      </c>
      <c r="W9" s="9">
        <v>0.35099999999999998</v>
      </c>
      <c r="X9" s="9">
        <v>0.3</v>
      </c>
      <c r="Y9" s="9">
        <v>5.0999999999999997E-2</v>
      </c>
      <c r="Z9" s="11" t="s">
        <v>37</v>
      </c>
      <c r="AA9" s="9" t="str">
        <f>IF(Table1[[#This Row],[2015_winner]]="NDA","W","L")</f>
        <v>W</v>
      </c>
      <c r="AB9" s="9" t="str">
        <f>IF(Table1[[#This Row],[2020_winner]]="NDA","W","L")</f>
        <v>L</v>
      </c>
      <c r="AC9" s="9" t="s">
        <v>100</v>
      </c>
      <c r="AD9" s="9" t="str">
        <f>Table1[[#This Row],[NDA_result_2015]]  &amp; "-" &amp; Table1[[#This Row],[NDA_result_2020]] &amp; "-" &amp; Table1[[#This Row],[NDA_result_2025]]</f>
        <v>W-L-L</v>
      </c>
      <c r="AE9" s="9" t="str">
        <f>IF(Table1[[#This Row],[Electoral_Sequence]]="W-W-L","Core Collapse",IF(Table1[[#This Row],[Electoral_Sequence]]="L-W-L","Swing Seat",IF(Table1[[#This Row],[Electoral_Sequence]]="W-L-L","Early Decline","Chronic Weak")))</f>
        <v>Early Decline</v>
      </c>
    </row>
    <row r="10" spans="1:31" x14ac:dyDescent="0.25">
      <c r="A10" s="8">
        <v>9</v>
      </c>
      <c r="B10" s="8" t="s">
        <v>13</v>
      </c>
      <c r="C10" s="8" t="s">
        <v>13</v>
      </c>
      <c r="D10" s="8" t="s">
        <v>32</v>
      </c>
      <c r="E10" s="9">
        <v>0.64400000000000002</v>
      </c>
      <c r="F10" s="9">
        <v>0.60968998628257842</v>
      </c>
      <c r="G10" s="9">
        <v>6.8912400775611879E-2</v>
      </c>
      <c r="H10" s="18">
        <f>(Table1[[#This Row],[Voter_Turnout_2025]]-Table1[[#This Row],[Benchmark_mean_turnout]])/Table1[[#This Row],[Benchmark_SD_turnout]]</f>
        <v>0.49787865944679033</v>
      </c>
      <c r="I10" s="18" t="str">
        <f>IF(Table1[[#This Row],[Z-Score_Turnout]]&lt;=-1,"Ultra Low",IF(Table1[[#This Row],[Z-Score_Turnout]]&lt;0,"Low",IF(Table1[[#This Row],[Z-Score_Turnout]]&lt;=1,"High","Ultra High")))</f>
        <v>High</v>
      </c>
      <c r="J10" s="8" t="s">
        <v>33</v>
      </c>
      <c r="K10" s="11">
        <v>0.44600000000000001</v>
      </c>
      <c r="L10" s="8" t="s">
        <v>34</v>
      </c>
      <c r="M10" s="11">
        <v>0.442</v>
      </c>
      <c r="N10" s="9">
        <v>-4.0000000000000001E-3</v>
      </c>
      <c r="O10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10" s="8" t="s">
        <v>37</v>
      </c>
      <c r="Q10" s="8" t="s">
        <v>33</v>
      </c>
      <c r="R10" s="10">
        <v>0.26200000000000001</v>
      </c>
      <c r="S10" s="10">
        <v>0.47799999999999998</v>
      </c>
      <c r="T10" s="10">
        <v>-0.216</v>
      </c>
      <c r="U10" s="8" t="s">
        <v>37</v>
      </c>
      <c r="V10" s="10" t="s">
        <v>33</v>
      </c>
      <c r="W10" s="9">
        <v>0.307</v>
      </c>
      <c r="X10" s="9">
        <v>0.50900000000000001</v>
      </c>
      <c r="Y10" s="9">
        <v>-0.20200000000000001</v>
      </c>
      <c r="Z10" s="11" t="s">
        <v>37</v>
      </c>
      <c r="AA10" s="9" t="str">
        <f>IF(Table1[[#This Row],[2015_winner]]="NDA","W","L")</f>
        <v>L</v>
      </c>
      <c r="AB10" s="9" t="str">
        <f>IF(Table1[[#This Row],[2020_winner]]="NDA","W","L")</f>
        <v>L</v>
      </c>
      <c r="AC10" s="9" t="s">
        <v>100</v>
      </c>
      <c r="AD10" s="9" t="str">
        <f>Table1[[#This Row],[NDA_result_2015]]  &amp; "-" &amp; Table1[[#This Row],[NDA_result_2020]] &amp; "-" &amp; Table1[[#This Row],[NDA_result_2025]]</f>
        <v>L-L-L</v>
      </c>
      <c r="AE10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1" spans="1:31" x14ac:dyDescent="0.25">
      <c r="A11" s="8">
        <v>10</v>
      </c>
      <c r="B11" s="8" t="s">
        <v>14</v>
      </c>
      <c r="C11" s="8" t="s">
        <v>14</v>
      </c>
      <c r="D11" s="8" t="s">
        <v>32</v>
      </c>
      <c r="E11" s="9">
        <v>0.69599999999999995</v>
      </c>
      <c r="F11" s="9">
        <v>0.60968998628257842</v>
      </c>
      <c r="G11" s="9">
        <v>6.8912400775611879E-2</v>
      </c>
      <c r="H11" s="18">
        <f>(Table1[[#This Row],[Voter_Turnout_2025]]-Table1[[#This Row],[Benchmark_mean_turnout]])/Table1[[#This Row],[Benchmark_SD_turnout]]</f>
        <v>1.2524598293775693</v>
      </c>
      <c r="I11" s="18" t="str">
        <f>IF(Table1[[#This Row],[Z-Score_Turnout]]&lt;=-1,"Ultra Low",IF(Table1[[#This Row],[Z-Score_Turnout]]&lt;0,"Low",IF(Table1[[#This Row],[Z-Score_Turnout]]&lt;=1,"High","Ultra High")))</f>
        <v>Ultra High</v>
      </c>
      <c r="J11" s="8" t="s">
        <v>33</v>
      </c>
      <c r="K11" s="11">
        <v>0.45299999999999996</v>
      </c>
      <c r="L11" s="8" t="s">
        <v>34</v>
      </c>
      <c r="M11" s="11">
        <v>0.42</v>
      </c>
      <c r="N11" s="9">
        <v>-3.3000000000000002E-2</v>
      </c>
      <c r="O11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11" s="8" t="s">
        <v>37</v>
      </c>
      <c r="Q11" s="8" t="s">
        <v>33</v>
      </c>
      <c r="R11" s="10">
        <v>0.32100000000000001</v>
      </c>
      <c r="S11" s="10">
        <v>0.39600000000000002</v>
      </c>
      <c r="T11" s="10">
        <v>-7.4999999999999997E-2</v>
      </c>
      <c r="U11" s="8" t="s">
        <v>37</v>
      </c>
      <c r="V11" s="10" t="s">
        <v>33</v>
      </c>
      <c r="W11" s="9">
        <v>0.28999999999999998</v>
      </c>
      <c r="X11" s="9">
        <v>0.495</v>
      </c>
      <c r="Y11" s="9">
        <v>-0.20499999999999999</v>
      </c>
      <c r="Z11" s="11" t="s">
        <v>37</v>
      </c>
      <c r="AA11" s="9" t="str">
        <f>IF(Table1[[#This Row],[2015_winner]]="NDA","W","L")</f>
        <v>L</v>
      </c>
      <c r="AB11" s="9" t="str">
        <f>IF(Table1[[#This Row],[2020_winner]]="NDA","W","L")</f>
        <v>L</v>
      </c>
      <c r="AC11" s="9" t="s">
        <v>100</v>
      </c>
      <c r="AD11" s="9" t="str">
        <f>Table1[[#This Row],[NDA_result_2015]]  &amp; "-" &amp; Table1[[#This Row],[NDA_result_2020]] &amp; "-" &amp; Table1[[#This Row],[NDA_result_2025]]</f>
        <v>L-L-L</v>
      </c>
      <c r="AE11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2" spans="1:31" x14ac:dyDescent="0.25">
      <c r="A12" s="8">
        <v>11</v>
      </c>
      <c r="B12" s="8" t="s">
        <v>15</v>
      </c>
      <c r="C12" s="8" t="s">
        <v>39</v>
      </c>
      <c r="D12" s="8" t="s">
        <v>32</v>
      </c>
      <c r="E12" s="9">
        <v>0.70799999999999996</v>
      </c>
      <c r="F12" s="9">
        <v>0.60968998628257842</v>
      </c>
      <c r="G12" s="9">
        <v>6.8912400775611879E-2</v>
      </c>
      <c r="H12" s="18">
        <f>(Table1[[#This Row],[Voter_Turnout_2025]]-Table1[[#This Row],[Benchmark_mean_turnout]])/Table1[[#This Row],[Benchmark_SD_turnout]]</f>
        <v>1.4265939455154417</v>
      </c>
      <c r="I12" s="18" t="str">
        <f>IF(Table1[[#This Row],[Z-Score_Turnout]]&lt;=-1,"Ultra Low",IF(Table1[[#This Row],[Z-Score_Turnout]]&lt;0,"Low",IF(Table1[[#This Row],[Z-Score_Turnout]]&lt;=1,"High","Ultra High")))</f>
        <v>Ultra High</v>
      </c>
      <c r="J12" s="8" t="s">
        <v>33</v>
      </c>
      <c r="K12" s="11">
        <v>0.46200000000000002</v>
      </c>
      <c r="L12" s="8" t="s">
        <v>34</v>
      </c>
      <c r="M12" s="11">
        <v>0.44400000000000001</v>
      </c>
      <c r="N12" s="9">
        <v>-1.7999999999999999E-2</v>
      </c>
      <c r="O12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12" s="8" t="s">
        <v>37</v>
      </c>
      <c r="Q12" s="8" t="s">
        <v>71</v>
      </c>
      <c r="R12" s="10">
        <v>0.38500000000000001</v>
      </c>
      <c r="S12" s="10">
        <v>0.376</v>
      </c>
      <c r="T12" s="10">
        <v>8.9999999999999993E-3</v>
      </c>
      <c r="U12" s="8" t="s">
        <v>37</v>
      </c>
      <c r="V12" s="10" t="s">
        <v>33</v>
      </c>
      <c r="W12" s="9">
        <v>0.20799999999999999</v>
      </c>
      <c r="X12" s="9">
        <v>0.38800000000000001</v>
      </c>
      <c r="Y12" s="9">
        <v>-0.18</v>
      </c>
      <c r="Z12" s="11" t="s">
        <v>37</v>
      </c>
      <c r="AA12" s="9" t="str">
        <f>IF(Table1[[#This Row],[2015_winner]]="NDA","W","L")</f>
        <v>L</v>
      </c>
      <c r="AB12" s="9" t="str">
        <f>IF(Table1[[#This Row],[2020_winner]]="NDA","W","L")</f>
        <v>W</v>
      </c>
      <c r="AC12" s="9" t="s">
        <v>100</v>
      </c>
      <c r="AD12" s="9" t="str">
        <f>Table1[[#This Row],[NDA_result_2015]]  &amp; "-" &amp; Table1[[#This Row],[NDA_result_2020]] &amp; "-" &amp; Table1[[#This Row],[NDA_result_2025]]</f>
        <v>L-W-L</v>
      </c>
      <c r="AE12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13" spans="1:31" x14ac:dyDescent="0.25">
      <c r="A13" s="8">
        <v>12</v>
      </c>
      <c r="B13" s="8" t="s">
        <v>16</v>
      </c>
      <c r="C13" s="8" t="s">
        <v>13</v>
      </c>
      <c r="D13" s="8" t="s">
        <v>35</v>
      </c>
      <c r="E13" s="9">
        <v>0.67500000000000004</v>
      </c>
      <c r="F13" s="9">
        <v>0.60968998628257842</v>
      </c>
      <c r="G13" s="9">
        <v>6.8912400775611879E-2</v>
      </c>
      <c r="H13" s="18">
        <f>(Table1[[#This Row],[Voter_Turnout_2025]]-Table1[[#This Row],[Benchmark_mean_turnout]])/Table1[[#This Row],[Benchmark_SD_turnout]]</f>
        <v>0.94772512613629412</v>
      </c>
      <c r="I13" s="18" t="str">
        <f>IF(Table1[[#This Row],[Z-Score_Turnout]]&lt;=-1,"Ultra Low",IF(Table1[[#This Row],[Z-Score_Turnout]]&lt;0,"Low",IF(Table1[[#This Row],[Z-Score_Turnout]]&lt;=1,"High","Ultra High")))</f>
        <v>High</v>
      </c>
      <c r="J13" s="8" t="s">
        <v>33</v>
      </c>
      <c r="K13" s="11">
        <v>0.44900000000000001</v>
      </c>
      <c r="L13" s="8" t="s">
        <v>34</v>
      </c>
      <c r="M13" s="11">
        <v>0.43799999999999994</v>
      </c>
      <c r="N13" s="9">
        <v>-1.0999999999999999E-2</v>
      </c>
      <c r="O13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13" s="8" t="s">
        <v>37</v>
      </c>
      <c r="Q13" s="8" t="s">
        <v>33</v>
      </c>
      <c r="R13" s="10">
        <v>0.36199999999999999</v>
      </c>
      <c r="S13" s="10">
        <v>0.52900000000000003</v>
      </c>
      <c r="T13" s="10">
        <v>-0.16700000000000001</v>
      </c>
      <c r="U13" s="8" t="s">
        <v>37</v>
      </c>
      <c r="V13" s="10" t="s">
        <v>33</v>
      </c>
      <c r="W13" s="9">
        <v>0.30599999999999999</v>
      </c>
      <c r="X13" s="9">
        <v>0.51200000000000001</v>
      </c>
      <c r="Y13" s="9">
        <v>-0.20599999999999999</v>
      </c>
      <c r="Z13" s="11" t="s">
        <v>37</v>
      </c>
      <c r="AA13" s="9" t="str">
        <f>IF(Table1[[#This Row],[2015_winner]]="NDA","W","L")</f>
        <v>L</v>
      </c>
      <c r="AB13" s="9" t="str">
        <f>IF(Table1[[#This Row],[2020_winner]]="NDA","W","L")</f>
        <v>L</v>
      </c>
      <c r="AC13" s="9" t="s">
        <v>100</v>
      </c>
      <c r="AD13" s="9" t="str">
        <f>Table1[[#This Row],[NDA_result_2015]]  &amp; "-" &amp; Table1[[#This Row],[NDA_result_2020]] &amp; "-" &amp; Table1[[#This Row],[NDA_result_2025]]</f>
        <v>L-L-L</v>
      </c>
      <c r="AE13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4" spans="1:31" x14ac:dyDescent="0.25">
      <c r="A14" s="8">
        <v>13</v>
      </c>
      <c r="B14" s="8" t="s">
        <v>17</v>
      </c>
      <c r="C14" s="8" t="s">
        <v>40</v>
      </c>
      <c r="D14" s="8" t="s">
        <v>32</v>
      </c>
      <c r="E14" s="9">
        <v>0.68200000000000005</v>
      </c>
      <c r="F14" s="9">
        <v>0.60968998628257842</v>
      </c>
      <c r="G14" s="9">
        <v>6.8912400775611879E-2</v>
      </c>
      <c r="H14" s="18">
        <f>(Table1[[#This Row],[Voter_Turnout_2025]]-Table1[[#This Row],[Benchmark_mean_turnout]])/Table1[[#This Row],[Benchmark_SD_turnout]]</f>
        <v>1.049303360550053</v>
      </c>
      <c r="I14" s="18" t="str">
        <f>IF(Table1[[#This Row],[Z-Score_Turnout]]&lt;=-1,"Ultra Low",IF(Table1[[#This Row],[Z-Score_Turnout]]&lt;0,"Low",IF(Table1[[#This Row],[Z-Score_Turnout]]&lt;=1,"High","Ultra High")))</f>
        <v>Ultra High</v>
      </c>
      <c r="J14" s="8" t="s">
        <v>33</v>
      </c>
      <c r="K14" s="11">
        <v>0.49</v>
      </c>
      <c r="L14" s="8" t="s">
        <v>34</v>
      </c>
      <c r="M14" s="11">
        <v>0.40100000000000002</v>
      </c>
      <c r="N14" s="9">
        <v>-8.8999999999999996E-2</v>
      </c>
      <c r="O14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14" s="8" t="s">
        <v>37</v>
      </c>
      <c r="Q14" s="8" t="s">
        <v>33</v>
      </c>
      <c r="R14" s="10">
        <v>0.31</v>
      </c>
      <c r="S14" s="10">
        <v>0.47699999999999998</v>
      </c>
      <c r="T14" s="10">
        <v>-0.16700000000000001</v>
      </c>
      <c r="U14" s="8" t="s">
        <v>37</v>
      </c>
      <c r="V14" s="10" t="s">
        <v>33</v>
      </c>
      <c r="W14" s="9">
        <v>0.373</v>
      </c>
      <c r="X14" s="9">
        <v>0.5</v>
      </c>
      <c r="Y14" s="9">
        <v>-0.127</v>
      </c>
      <c r="Z14" s="11" t="s">
        <v>37</v>
      </c>
      <c r="AA14" s="9" t="str">
        <f>IF(Table1[[#This Row],[2015_winner]]="NDA","W","L")</f>
        <v>L</v>
      </c>
      <c r="AB14" s="9" t="str">
        <f>IF(Table1[[#This Row],[2020_winner]]="NDA","W","L")</f>
        <v>L</v>
      </c>
      <c r="AC14" s="9" t="s">
        <v>100</v>
      </c>
      <c r="AD14" s="9" t="str">
        <f>Table1[[#This Row],[NDA_result_2015]]  &amp; "-" &amp; Table1[[#This Row],[NDA_result_2020]] &amp; "-" &amp; Table1[[#This Row],[NDA_result_2025]]</f>
        <v>L-L-L</v>
      </c>
      <c r="AE14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5" spans="1:31" x14ac:dyDescent="0.25">
      <c r="A15" s="8">
        <v>14</v>
      </c>
      <c r="B15" s="8" t="s">
        <v>18</v>
      </c>
      <c r="C15" s="8" t="s">
        <v>43</v>
      </c>
      <c r="D15" s="8" t="s">
        <v>32</v>
      </c>
      <c r="E15" s="9">
        <v>0.66500000000000004</v>
      </c>
      <c r="F15" s="9">
        <v>0.60968998628257842</v>
      </c>
      <c r="G15" s="9">
        <v>6.8912400775611879E-2</v>
      </c>
      <c r="H15" s="18">
        <f>(Table1[[#This Row],[Voter_Turnout_2025]]-Table1[[#This Row],[Benchmark_mean_turnout]])/Table1[[#This Row],[Benchmark_SD_turnout]]</f>
        <v>0.80261336268806704</v>
      </c>
      <c r="I15" s="18" t="str">
        <f>IF(Table1[[#This Row],[Z-Score_Turnout]]&lt;=-1,"Ultra Low",IF(Table1[[#This Row],[Z-Score_Turnout]]&lt;0,"Low",IF(Table1[[#This Row],[Z-Score_Turnout]]&lt;=1,"High","Ultra High")))</f>
        <v>High</v>
      </c>
      <c r="J15" s="8" t="s">
        <v>33</v>
      </c>
      <c r="K15" s="11">
        <v>0.48</v>
      </c>
      <c r="L15" s="8" t="s">
        <v>34</v>
      </c>
      <c r="M15" s="11">
        <v>0.32400000000000001</v>
      </c>
      <c r="N15" s="9">
        <v>-0.156</v>
      </c>
      <c r="O15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Landslide Loss</v>
      </c>
      <c r="P15" s="8" t="s">
        <v>37</v>
      </c>
      <c r="Q15" s="8" t="s">
        <v>33</v>
      </c>
      <c r="R15" s="10">
        <v>0.32300000000000001</v>
      </c>
      <c r="S15" s="10">
        <v>0.39900000000000002</v>
      </c>
      <c r="T15" s="10">
        <v>-7.5999999999999998E-2</v>
      </c>
      <c r="U15" s="8" t="s">
        <v>37</v>
      </c>
      <c r="V15" s="10" t="s">
        <v>33</v>
      </c>
      <c r="W15" s="9">
        <v>0.35699999999999998</v>
      </c>
      <c r="X15" s="9">
        <v>0.47599999999999998</v>
      </c>
      <c r="Y15" s="9">
        <v>-0.11899999999999999</v>
      </c>
      <c r="Z15" s="11" t="s">
        <v>37</v>
      </c>
      <c r="AA15" s="9" t="str">
        <f>IF(Table1[[#This Row],[2015_winner]]="NDA","W","L")</f>
        <v>L</v>
      </c>
      <c r="AB15" s="9" t="str">
        <f>IF(Table1[[#This Row],[2020_winner]]="NDA","W","L")</f>
        <v>L</v>
      </c>
      <c r="AC15" s="9" t="s">
        <v>100</v>
      </c>
      <c r="AD15" s="9" t="str">
        <f>Table1[[#This Row],[NDA_result_2015]]  &amp; "-" &amp; Table1[[#This Row],[NDA_result_2020]] &amp; "-" &amp; Table1[[#This Row],[NDA_result_2025]]</f>
        <v>L-L-L</v>
      </c>
      <c r="AE15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6" spans="1:31" x14ac:dyDescent="0.25">
      <c r="A16" s="8">
        <v>15</v>
      </c>
      <c r="B16" s="8" t="s">
        <v>19</v>
      </c>
      <c r="C16" s="8" t="s">
        <v>41</v>
      </c>
      <c r="D16" s="8" t="s">
        <v>32</v>
      </c>
      <c r="E16" s="9">
        <v>0.70099999999999996</v>
      </c>
      <c r="F16" s="9">
        <v>0.60968998628257842</v>
      </c>
      <c r="G16" s="9">
        <v>6.8912400775611879E-2</v>
      </c>
      <c r="H16" s="18">
        <f>(Table1[[#This Row],[Voter_Turnout_2025]]-Table1[[#This Row],[Benchmark_mean_turnout]])/Table1[[#This Row],[Benchmark_SD_turnout]]</f>
        <v>1.3250157111016829</v>
      </c>
      <c r="I16" s="18" t="str">
        <f>IF(Table1[[#This Row],[Z-Score_Turnout]]&lt;=-1,"Ultra Low",IF(Table1[[#This Row],[Z-Score_Turnout]]&lt;0,"Low",IF(Table1[[#This Row],[Z-Score_Turnout]]&lt;=1,"High","Ultra High")))</f>
        <v>Ultra High</v>
      </c>
      <c r="J16" s="8" t="s">
        <v>33</v>
      </c>
      <c r="K16" s="11">
        <v>0.47700000000000004</v>
      </c>
      <c r="L16" s="8" t="s">
        <v>34</v>
      </c>
      <c r="M16" s="11">
        <v>0.45500000000000002</v>
      </c>
      <c r="N16" s="9">
        <v>-2.1999999999999999E-2</v>
      </c>
      <c r="O16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16" s="8" t="s">
        <v>37</v>
      </c>
      <c r="Q16" s="8" t="s">
        <v>62</v>
      </c>
      <c r="R16" s="10">
        <v>0.30499999999999999</v>
      </c>
      <c r="S16" s="10">
        <v>0.307</v>
      </c>
      <c r="T16" s="10">
        <v>-2E-3</v>
      </c>
      <c r="U16" s="8" t="s">
        <v>38</v>
      </c>
      <c r="V16" s="10" t="s">
        <v>33</v>
      </c>
      <c r="W16" s="9">
        <v>0.36499999999999999</v>
      </c>
      <c r="X16" s="9">
        <v>0.48899999999999999</v>
      </c>
      <c r="Y16" s="9">
        <v>-0.124</v>
      </c>
      <c r="Z16" s="11" t="s">
        <v>37</v>
      </c>
      <c r="AA16" s="9" t="str">
        <f>IF(Table1[[#This Row],[2015_winner]]="NDA","W","L")</f>
        <v>L</v>
      </c>
      <c r="AB16" s="9" t="str">
        <f>IF(Table1[[#This Row],[2020_winner]]="NDA","W","L")</f>
        <v>L</v>
      </c>
      <c r="AC16" s="9" t="s">
        <v>100</v>
      </c>
      <c r="AD16" s="9" t="str">
        <f>Table1[[#This Row],[NDA_result_2015]]  &amp; "-" &amp; Table1[[#This Row],[NDA_result_2020]] &amp; "-" &amp; Table1[[#This Row],[NDA_result_2025]]</f>
        <v>L-L-L</v>
      </c>
      <c r="AE16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7" spans="1:31" x14ac:dyDescent="0.25">
      <c r="A17" s="8">
        <v>16</v>
      </c>
      <c r="B17" s="8" t="s">
        <v>20</v>
      </c>
      <c r="C17" s="8" t="s">
        <v>42</v>
      </c>
      <c r="D17" s="8" t="s">
        <v>32</v>
      </c>
      <c r="E17" s="9">
        <v>0.73599999999999999</v>
      </c>
      <c r="F17" s="9">
        <v>0.60968998628257842</v>
      </c>
      <c r="G17" s="9">
        <v>6.8912400775611879E-2</v>
      </c>
      <c r="H17" s="18">
        <f>(Table1[[#This Row],[Voter_Turnout_2025]]-Table1[[#This Row],[Benchmark_mean_turnout]])/Table1[[#This Row],[Benchmark_SD_turnout]]</f>
        <v>1.8329068831704776</v>
      </c>
      <c r="I17" s="18" t="str">
        <f>IF(Table1[[#This Row],[Z-Score_Turnout]]&lt;=-1,"Ultra Low",IF(Table1[[#This Row],[Z-Score_Turnout]]&lt;0,"Low",IF(Table1[[#This Row],[Z-Score_Turnout]]&lt;=1,"High","Ultra High")))</f>
        <v>Ultra High</v>
      </c>
      <c r="J17" s="8" t="s">
        <v>33</v>
      </c>
      <c r="K17" s="11">
        <v>0.39500000000000002</v>
      </c>
      <c r="L17" s="8" t="s">
        <v>34</v>
      </c>
      <c r="M17" s="11">
        <v>0.35100000000000003</v>
      </c>
      <c r="N17" s="9">
        <v>-4.3999999999999997E-2</v>
      </c>
      <c r="O17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17" s="8" t="s">
        <v>38</v>
      </c>
      <c r="Q17" s="8" t="s">
        <v>33</v>
      </c>
      <c r="R17" s="10">
        <v>0.308</v>
      </c>
      <c r="S17" s="10">
        <v>0.375</v>
      </c>
      <c r="T17" s="10">
        <v>-6.7000000000000004E-2</v>
      </c>
      <c r="U17" s="8" t="s">
        <v>38</v>
      </c>
      <c r="V17" s="10" t="s">
        <v>33</v>
      </c>
      <c r="W17" s="9">
        <v>0.29199999999999998</v>
      </c>
      <c r="X17" s="9">
        <v>0.42799999999999999</v>
      </c>
      <c r="Y17" s="9">
        <v>-0.13600000000000001</v>
      </c>
      <c r="Z17" s="11" t="s">
        <v>37</v>
      </c>
      <c r="AA17" s="9" t="str">
        <f>IF(Table1[[#This Row],[2015_winner]]="NDA","W","L")</f>
        <v>L</v>
      </c>
      <c r="AB17" s="9" t="str">
        <f>IF(Table1[[#This Row],[2020_winner]]="NDA","W","L")</f>
        <v>L</v>
      </c>
      <c r="AC17" s="9" t="s">
        <v>100</v>
      </c>
      <c r="AD17" s="9" t="str">
        <f>Table1[[#This Row],[NDA_result_2015]]  &amp; "-" &amp; Table1[[#This Row],[NDA_result_2020]] &amp; "-" &amp; Table1[[#This Row],[NDA_result_2025]]</f>
        <v>L-L-L</v>
      </c>
      <c r="AE17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18" spans="1:31" x14ac:dyDescent="0.25">
      <c r="A18" s="8">
        <v>17</v>
      </c>
      <c r="B18" s="8" t="s">
        <v>21</v>
      </c>
      <c r="C18" s="8" t="s">
        <v>81</v>
      </c>
      <c r="D18" s="8" t="s">
        <v>32</v>
      </c>
      <c r="E18" s="9">
        <v>0.7340000000000001</v>
      </c>
      <c r="F18" s="9">
        <v>0.60968998628257842</v>
      </c>
      <c r="G18" s="9">
        <v>6.8912400775611879E-2</v>
      </c>
      <c r="H18" s="18">
        <f>(Table1[[#This Row],[Voter_Turnout_2025]]-Table1[[#This Row],[Benchmark_mean_turnout]])/Table1[[#This Row],[Benchmark_SD_turnout]]</f>
        <v>1.8038845304808337</v>
      </c>
      <c r="I18" s="18" t="str">
        <f>IF(Table1[[#This Row],[Z-Score_Turnout]]&lt;=-1,"Ultra Low",IF(Table1[[#This Row],[Z-Score_Turnout]]&lt;0,"Low",IF(Table1[[#This Row],[Z-Score_Turnout]]&lt;=1,"High","Ultra High")))</f>
        <v>Ultra High</v>
      </c>
      <c r="J18" s="8" t="s">
        <v>33</v>
      </c>
      <c r="K18" s="11">
        <v>0.41799999999999998</v>
      </c>
      <c r="L18" s="8" t="s">
        <v>34</v>
      </c>
      <c r="M18" s="11">
        <v>0.29100000000000004</v>
      </c>
      <c r="N18" s="9">
        <v>-0.127</v>
      </c>
      <c r="O18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Heavy Loss</v>
      </c>
      <c r="P18" s="8" t="s">
        <v>38</v>
      </c>
      <c r="Q18" s="8" t="s">
        <v>71</v>
      </c>
      <c r="R18" s="10">
        <v>0.41299999999999998</v>
      </c>
      <c r="S18" s="10">
        <v>0.33499999999999996</v>
      </c>
      <c r="T18" s="10">
        <v>7.8E-2</v>
      </c>
      <c r="U18" s="8" t="s">
        <v>38</v>
      </c>
      <c r="V18" s="10" t="s">
        <v>71</v>
      </c>
      <c r="W18" s="9">
        <v>0.48199999999999998</v>
      </c>
      <c r="X18" s="9">
        <v>0.40099999999999997</v>
      </c>
      <c r="Y18" s="9">
        <v>8.1000000000000003E-2</v>
      </c>
      <c r="Z18" s="11" t="s">
        <v>37</v>
      </c>
      <c r="AA18" s="9" t="str">
        <f>IF(Table1[[#This Row],[2015_winner]]="NDA","W","L")</f>
        <v>W</v>
      </c>
      <c r="AB18" s="9" t="str">
        <f>IF(Table1[[#This Row],[2020_winner]]="NDA","W","L")</f>
        <v>W</v>
      </c>
      <c r="AC18" s="9" t="s">
        <v>100</v>
      </c>
      <c r="AD18" s="9" t="str">
        <f>Table1[[#This Row],[NDA_result_2015]]  &amp; "-" &amp; Table1[[#This Row],[NDA_result_2020]] &amp; "-" &amp; Table1[[#This Row],[NDA_result_2025]]</f>
        <v>W-W-L</v>
      </c>
      <c r="AE18" s="9" t="str">
        <f>IF(Table1[[#This Row],[Electoral_Sequence]]="W-W-L","Core Collapse",IF(Table1[[#This Row],[Electoral_Sequence]]="L-W-L","Swing Seat",IF(Table1[[#This Row],[Electoral_Sequence]]="W-L-L","Early Decline","Chronic Weak")))</f>
        <v>Core Collapse</v>
      </c>
    </row>
    <row r="19" spans="1:31" x14ac:dyDescent="0.25">
      <c r="A19" s="8">
        <v>18</v>
      </c>
      <c r="B19" s="8" t="s">
        <v>22</v>
      </c>
      <c r="C19" s="8" t="s">
        <v>43</v>
      </c>
      <c r="D19" s="8" t="s">
        <v>32</v>
      </c>
      <c r="E19" s="9">
        <v>0.67400000000000004</v>
      </c>
      <c r="F19" s="9">
        <v>0.60968998628257842</v>
      </c>
      <c r="G19" s="9">
        <v>6.8912400775611879E-2</v>
      </c>
      <c r="H19" s="18">
        <f>(Table1[[#This Row],[Voter_Turnout_2025]]-Table1[[#This Row],[Benchmark_mean_turnout]])/Table1[[#This Row],[Benchmark_SD_turnout]]</f>
        <v>0.93321394979147143</v>
      </c>
      <c r="I19" s="18" t="str">
        <f>IF(Table1[[#This Row],[Z-Score_Turnout]]&lt;=-1,"Ultra Low",IF(Table1[[#This Row],[Z-Score_Turnout]]&lt;0,"Low",IF(Table1[[#This Row],[Z-Score_Turnout]]&lt;=1,"High","Ultra High")))</f>
        <v>High</v>
      </c>
      <c r="J19" s="8" t="s">
        <v>33</v>
      </c>
      <c r="K19" s="11">
        <v>0.49200000000000005</v>
      </c>
      <c r="L19" s="8" t="s">
        <v>34</v>
      </c>
      <c r="M19" s="11">
        <v>0.34899999999999998</v>
      </c>
      <c r="N19" s="9">
        <v>-0.14299999999999999</v>
      </c>
      <c r="O19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Heavy Loss</v>
      </c>
      <c r="P19" s="8" t="s">
        <v>37</v>
      </c>
      <c r="Q19" s="8" t="s">
        <v>33</v>
      </c>
      <c r="R19" s="10">
        <v>0.34300000000000003</v>
      </c>
      <c r="S19" s="10">
        <v>0.45900000000000002</v>
      </c>
      <c r="T19" s="10">
        <v>-0.11600000000000001</v>
      </c>
      <c r="U19" s="8" t="s">
        <v>37</v>
      </c>
      <c r="V19" s="10" t="s">
        <v>33</v>
      </c>
      <c r="W19" s="9">
        <v>0.253</v>
      </c>
      <c r="X19" s="9">
        <v>0.56000000000000005</v>
      </c>
      <c r="Y19" s="9">
        <v>-0.307</v>
      </c>
      <c r="Z19" s="11" t="s">
        <v>37</v>
      </c>
      <c r="AA19" s="9" t="str">
        <f>IF(Table1[[#This Row],[2015_winner]]="NDA","W","L")</f>
        <v>L</v>
      </c>
      <c r="AB19" s="9" t="str">
        <f>IF(Table1[[#This Row],[2020_winner]]="NDA","W","L")</f>
        <v>L</v>
      </c>
      <c r="AC19" s="9" t="s">
        <v>100</v>
      </c>
      <c r="AD19" s="9" t="str">
        <f>Table1[[#This Row],[NDA_result_2015]]  &amp; "-" &amp; Table1[[#This Row],[NDA_result_2020]] &amp; "-" &amp; Table1[[#This Row],[NDA_result_2025]]</f>
        <v>L-L-L</v>
      </c>
      <c r="AE19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20" spans="1:31" x14ac:dyDescent="0.25">
      <c r="A20" s="8">
        <v>19</v>
      </c>
      <c r="B20" s="8" t="s">
        <v>23</v>
      </c>
      <c r="C20" s="8" t="s">
        <v>44</v>
      </c>
      <c r="D20" s="8" t="s">
        <v>32</v>
      </c>
      <c r="E20" s="9">
        <v>0.69599999999999995</v>
      </c>
      <c r="F20" s="9">
        <v>0.60968998628257842</v>
      </c>
      <c r="G20" s="9">
        <v>6.8912400775611879E-2</v>
      </c>
      <c r="H20" s="18">
        <f>(Table1[[#This Row],[Voter_Turnout_2025]]-Table1[[#This Row],[Benchmark_mean_turnout]])/Table1[[#This Row],[Benchmark_SD_turnout]]</f>
        <v>1.2524598293775693</v>
      </c>
      <c r="I20" s="18" t="str">
        <f>IF(Table1[[#This Row],[Z-Score_Turnout]]&lt;=-1,"Ultra Low",IF(Table1[[#This Row],[Z-Score_Turnout]]&lt;0,"Low",IF(Table1[[#This Row],[Z-Score_Turnout]]&lt;=1,"High","Ultra High")))</f>
        <v>Ultra High</v>
      </c>
      <c r="J20" s="8" t="s">
        <v>33</v>
      </c>
      <c r="K20" s="11">
        <v>0.49700000000000005</v>
      </c>
      <c r="L20" s="8" t="s">
        <v>34</v>
      </c>
      <c r="M20" s="11">
        <v>0.436</v>
      </c>
      <c r="N20" s="9">
        <v>-6.0999999999999999E-2</v>
      </c>
      <c r="O20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20" s="8" t="s">
        <v>37</v>
      </c>
      <c r="Q20" s="8" t="s">
        <v>33</v>
      </c>
      <c r="R20" s="10">
        <v>0.30299999999999999</v>
      </c>
      <c r="S20" s="10">
        <v>0.498</v>
      </c>
      <c r="T20" s="10">
        <v>-0.19500000000000001</v>
      </c>
      <c r="U20" s="8" t="s">
        <v>37</v>
      </c>
      <c r="V20" s="10" t="s">
        <v>33</v>
      </c>
      <c r="W20" s="9">
        <v>0.36899999999999999</v>
      </c>
      <c r="X20" s="9">
        <v>0.49099999999999999</v>
      </c>
      <c r="Y20" s="9">
        <v>-0.122</v>
      </c>
      <c r="Z20" s="11" t="s">
        <v>37</v>
      </c>
      <c r="AA20" s="9" t="str">
        <f>IF(Table1[[#This Row],[2015_winner]]="NDA","W","L")</f>
        <v>L</v>
      </c>
      <c r="AB20" s="9" t="str">
        <f>IF(Table1[[#This Row],[2020_winner]]="NDA","W","L")</f>
        <v>L</v>
      </c>
      <c r="AC20" s="9" t="s">
        <v>100</v>
      </c>
      <c r="AD20" s="9" t="str">
        <f>Table1[[#This Row],[NDA_result_2015]]  &amp; "-" &amp; Table1[[#This Row],[NDA_result_2020]] &amp; "-" &amp; Table1[[#This Row],[NDA_result_2025]]</f>
        <v>L-L-L</v>
      </c>
      <c r="AE20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21" spans="1:31" x14ac:dyDescent="0.25">
      <c r="A21" s="8">
        <v>20</v>
      </c>
      <c r="B21" s="8" t="s">
        <v>24</v>
      </c>
      <c r="C21" s="8" t="s">
        <v>45</v>
      </c>
      <c r="D21" s="8" t="s">
        <v>32</v>
      </c>
      <c r="E21" s="9">
        <v>0.61699999999999999</v>
      </c>
      <c r="F21" s="9">
        <v>0.60968998628257842</v>
      </c>
      <c r="G21" s="9">
        <v>6.8912400775611879E-2</v>
      </c>
      <c r="H21" s="18">
        <f>(Table1[[#This Row],[Voter_Turnout_2025]]-Table1[[#This Row],[Benchmark_mean_turnout]])/Table1[[#This Row],[Benchmark_SD_turnout]]</f>
        <v>0.10607689813657728</v>
      </c>
      <c r="I21" s="18" t="str">
        <f>IF(Table1[[#This Row],[Z-Score_Turnout]]&lt;=-1,"Ultra Low",IF(Table1[[#This Row],[Z-Score_Turnout]]&lt;0,"Low",IF(Table1[[#This Row],[Z-Score_Turnout]]&lt;=1,"High","Ultra High")))</f>
        <v>High</v>
      </c>
      <c r="J21" s="8" t="s">
        <v>33</v>
      </c>
      <c r="K21" s="11">
        <v>0.48799999999999999</v>
      </c>
      <c r="L21" s="8" t="s">
        <v>34</v>
      </c>
      <c r="M21" s="11">
        <v>0.43700000000000006</v>
      </c>
      <c r="N21" s="9">
        <v>-5.0999999999999997E-2</v>
      </c>
      <c r="O21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21" s="8" t="s">
        <v>37</v>
      </c>
      <c r="Q21" s="8" t="s">
        <v>33</v>
      </c>
      <c r="R21" s="10">
        <v>0.17</v>
      </c>
      <c r="S21" s="10">
        <v>0.44000000000000006</v>
      </c>
      <c r="T21" s="10">
        <v>-0.27</v>
      </c>
      <c r="U21" s="8" t="s">
        <v>38</v>
      </c>
      <c r="V21" s="10" t="s">
        <v>33</v>
      </c>
      <c r="W21" s="9">
        <v>0.34699999999999998</v>
      </c>
      <c r="X21" s="9">
        <v>0.42</v>
      </c>
      <c r="Y21" s="9">
        <v>-7.2999999999999995E-2</v>
      </c>
      <c r="Z21" s="11" t="s">
        <v>37</v>
      </c>
      <c r="AA21" s="9" t="str">
        <f>IF(Table1[[#This Row],[2015_winner]]="NDA","W","L")</f>
        <v>L</v>
      </c>
      <c r="AB21" s="9" t="str">
        <f>IF(Table1[[#This Row],[2020_winner]]="NDA","W","L")</f>
        <v>L</v>
      </c>
      <c r="AC21" s="9" t="s">
        <v>100</v>
      </c>
      <c r="AD21" s="9" t="str">
        <f>Table1[[#This Row],[NDA_result_2015]]  &amp; "-" &amp; Table1[[#This Row],[NDA_result_2020]] &amp; "-" &amp; Table1[[#This Row],[NDA_result_2025]]</f>
        <v>L-L-L</v>
      </c>
      <c r="AE21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22" spans="1:31" x14ac:dyDescent="0.25">
      <c r="A22" s="8">
        <v>21</v>
      </c>
      <c r="B22" s="8" t="s">
        <v>25</v>
      </c>
      <c r="C22" s="8" t="s">
        <v>46</v>
      </c>
      <c r="D22" s="8" t="s">
        <v>35</v>
      </c>
      <c r="E22" s="9">
        <v>0.67799999999999994</v>
      </c>
      <c r="F22" s="9">
        <v>0.60968998628257842</v>
      </c>
      <c r="G22" s="9">
        <v>6.8912400775611879E-2</v>
      </c>
      <c r="H22" s="18">
        <f>(Table1[[#This Row],[Voter_Turnout_2025]]-Table1[[#This Row],[Benchmark_mean_turnout]])/Table1[[#This Row],[Benchmark_SD_turnout]]</f>
        <v>0.99125865517076062</v>
      </c>
      <c r="I22" s="18" t="str">
        <f>IF(Table1[[#This Row],[Z-Score_Turnout]]&lt;=-1,"Ultra Low",IF(Table1[[#This Row],[Z-Score_Turnout]]&lt;0,"Low",IF(Table1[[#This Row],[Z-Score_Turnout]]&lt;=1,"High","Ultra High")))</f>
        <v>High</v>
      </c>
      <c r="J22" s="8" t="s">
        <v>33</v>
      </c>
      <c r="K22" s="11">
        <v>0.48399999999999999</v>
      </c>
      <c r="L22" s="8" t="s">
        <v>34</v>
      </c>
      <c r="M22" s="11">
        <v>0.44700000000000001</v>
      </c>
      <c r="N22" s="9">
        <v>-3.6999999999999998E-2</v>
      </c>
      <c r="O22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22" s="8" t="s">
        <v>37</v>
      </c>
      <c r="Q22" s="8" t="s">
        <v>71</v>
      </c>
      <c r="R22" s="10">
        <v>0.45500000000000002</v>
      </c>
      <c r="S22" s="10">
        <v>0.442</v>
      </c>
      <c r="T22" s="10">
        <v>1.2999999999999999E-2</v>
      </c>
      <c r="U22" s="8" t="s">
        <v>37</v>
      </c>
      <c r="V22" s="10" t="s">
        <v>33</v>
      </c>
      <c r="W22" s="9">
        <v>0.38900000000000001</v>
      </c>
      <c r="X22" s="9">
        <v>0.48199999999999998</v>
      </c>
      <c r="Y22" s="9">
        <v>-9.2999999999999999E-2</v>
      </c>
      <c r="Z22" s="11" t="s">
        <v>37</v>
      </c>
      <c r="AA22" s="9" t="str">
        <f>IF(Table1[[#This Row],[2015_winner]]="NDA","W","L")</f>
        <v>L</v>
      </c>
      <c r="AB22" s="9" t="str">
        <f>IF(Table1[[#This Row],[2020_winner]]="NDA","W","L")</f>
        <v>W</v>
      </c>
      <c r="AC22" s="9" t="s">
        <v>100</v>
      </c>
      <c r="AD22" s="9" t="str">
        <f>Table1[[#This Row],[NDA_result_2015]]  &amp; "-" &amp; Table1[[#This Row],[NDA_result_2020]] &amp; "-" &amp; Table1[[#This Row],[NDA_result_2025]]</f>
        <v>L-W-L</v>
      </c>
      <c r="AE22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23" spans="1:31" x14ac:dyDescent="0.25">
      <c r="A23" s="8">
        <v>22</v>
      </c>
      <c r="B23" s="8" t="s">
        <v>26</v>
      </c>
      <c r="C23" s="8" t="s">
        <v>41</v>
      </c>
      <c r="D23" s="8" t="s">
        <v>32</v>
      </c>
      <c r="E23" s="9">
        <v>0.72499999999999998</v>
      </c>
      <c r="F23" s="9">
        <v>0.60968998628257842</v>
      </c>
      <c r="G23" s="9">
        <v>6.8912400775611879E-2</v>
      </c>
      <c r="H23" s="18">
        <f>(Table1[[#This Row],[Voter_Turnout_2025]]-Table1[[#This Row],[Benchmark_mean_turnout]])/Table1[[#This Row],[Benchmark_SD_turnout]]</f>
        <v>1.6732839433774278</v>
      </c>
      <c r="I23" s="18" t="str">
        <f>IF(Table1[[#This Row],[Z-Score_Turnout]]&lt;=-1,"Ultra Low",IF(Table1[[#This Row],[Z-Score_Turnout]]&lt;0,"Low",IF(Table1[[#This Row],[Z-Score_Turnout]]&lt;=1,"High","Ultra High")))</f>
        <v>Ultra High</v>
      </c>
      <c r="J23" s="8" t="s">
        <v>33</v>
      </c>
      <c r="K23" s="11">
        <v>0.40500000000000003</v>
      </c>
      <c r="L23" s="8" t="s">
        <v>34</v>
      </c>
      <c r="M23" s="11">
        <v>0.32200000000000001</v>
      </c>
      <c r="N23" s="9">
        <v>-8.3000000000000004E-2</v>
      </c>
      <c r="O23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23" s="8" t="s">
        <v>38</v>
      </c>
      <c r="Q23" s="8" t="s">
        <v>33</v>
      </c>
      <c r="R23" s="10">
        <v>0.33100000000000002</v>
      </c>
      <c r="S23" s="10">
        <v>0.42400000000000004</v>
      </c>
      <c r="T23" s="10">
        <v>-9.2999999999999999E-2</v>
      </c>
      <c r="U23" s="8" t="s">
        <v>38</v>
      </c>
      <c r="V23" s="10" t="s">
        <v>33</v>
      </c>
      <c r="W23" s="9">
        <v>0.23899999999999999</v>
      </c>
      <c r="X23" s="9">
        <v>0.57099999999999995</v>
      </c>
      <c r="Y23" s="9">
        <v>-0.33200000000000002</v>
      </c>
      <c r="Z23" s="11" t="s">
        <v>37</v>
      </c>
      <c r="AA23" s="9" t="str">
        <f>IF(Table1[[#This Row],[2015_winner]]="NDA","W","L")</f>
        <v>L</v>
      </c>
      <c r="AB23" s="9" t="str">
        <f>IF(Table1[[#This Row],[2020_winner]]="NDA","W","L")</f>
        <v>L</v>
      </c>
      <c r="AC23" s="9" t="s">
        <v>100</v>
      </c>
      <c r="AD23" s="9" t="str">
        <f>Table1[[#This Row],[NDA_result_2015]]  &amp; "-" &amp; Table1[[#This Row],[NDA_result_2020]] &amp; "-" &amp; Table1[[#This Row],[NDA_result_2025]]</f>
        <v>L-L-L</v>
      </c>
      <c r="AE23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24" spans="1:31" x14ac:dyDescent="0.25">
      <c r="A24" s="8">
        <v>23</v>
      </c>
      <c r="B24" s="8" t="s">
        <v>27</v>
      </c>
      <c r="C24" s="8" t="s">
        <v>76</v>
      </c>
      <c r="D24" s="8" t="s">
        <v>32</v>
      </c>
      <c r="E24" s="9">
        <v>0.71099999999999997</v>
      </c>
      <c r="F24" s="9">
        <v>0.60968998628257842</v>
      </c>
      <c r="G24" s="9">
        <v>6.8912400775611879E-2</v>
      </c>
      <c r="H24" s="18">
        <f>(Table1[[#This Row],[Voter_Turnout_2025]]-Table1[[#This Row],[Benchmark_mean_turnout]])/Table1[[#This Row],[Benchmark_SD_turnout]]</f>
        <v>1.47012747454991</v>
      </c>
      <c r="I24" s="18" t="str">
        <f>IF(Table1[[#This Row],[Z-Score_Turnout]]&lt;=-1,"Ultra Low",IF(Table1[[#This Row],[Z-Score_Turnout]]&lt;0,"Low",IF(Table1[[#This Row],[Z-Score_Turnout]]&lt;=1,"High","Ultra High")))</f>
        <v>Ultra High</v>
      </c>
      <c r="J24" s="8" t="s">
        <v>33</v>
      </c>
      <c r="K24" s="11">
        <v>0.45799999999999996</v>
      </c>
      <c r="L24" s="8" t="s">
        <v>34</v>
      </c>
      <c r="M24" s="11">
        <v>0.44799999999999995</v>
      </c>
      <c r="N24" s="9">
        <v>-0.01</v>
      </c>
      <c r="O24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24" s="8" t="s">
        <v>37</v>
      </c>
      <c r="Q24" s="8" t="s">
        <v>71</v>
      </c>
      <c r="R24" s="10">
        <v>0.379</v>
      </c>
      <c r="S24" s="10">
        <v>0.36499999999999999</v>
      </c>
      <c r="T24" s="10">
        <v>1.4E-2</v>
      </c>
      <c r="U24" s="8" t="s">
        <v>37</v>
      </c>
      <c r="V24" s="10" t="s">
        <v>33</v>
      </c>
      <c r="W24" s="9">
        <v>0.32700000000000001</v>
      </c>
      <c r="X24" s="9">
        <v>0.51500000000000001</v>
      </c>
      <c r="Y24" s="9">
        <v>-0.188</v>
      </c>
      <c r="Z24" s="11" t="s">
        <v>37</v>
      </c>
      <c r="AA24" s="9" t="str">
        <f>IF(Table1[[#This Row],[2015_winner]]="NDA","W","L")</f>
        <v>L</v>
      </c>
      <c r="AB24" s="9" t="str">
        <f>IF(Table1[[#This Row],[2020_winner]]="NDA","W","L")</f>
        <v>W</v>
      </c>
      <c r="AC24" s="9" t="s">
        <v>100</v>
      </c>
      <c r="AD24" s="9" t="str">
        <f>Table1[[#This Row],[NDA_result_2015]]  &amp; "-" &amp; Table1[[#This Row],[NDA_result_2020]] &amp; "-" &amp; Table1[[#This Row],[NDA_result_2025]]</f>
        <v>L-W-L</v>
      </c>
      <c r="AE24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25" spans="1:31" x14ac:dyDescent="0.25">
      <c r="A25" s="8">
        <v>24</v>
      </c>
      <c r="B25" s="8" t="s">
        <v>28</v>
      </c>
      <c r="C25" s="8" t="s">
        <v>42</v>
      </c>
      <c r="D25" s="8" t="s">
        <v>32</v>
      </c>
      <c r="E25" s="9">
        <v>0.747</v>
      </c>
      <c r="F25" s="9">
        <v>0.60968998628257842</v>
      </c>
      <c r="G25" s="9">
        <v>6.8912400775611879E-2</v>
      </c>
      <c r="H25" s="18">
        <f>(Table1[[#This Row],[Voter_Turnout_2025]]-Table1[[#This Row],[Benchmark_mean_turnout]])/Table1[[#This Row],[Benchmark_SD_turnout]]</f>
        <v>1.9925298229635273</v>
      </c>
      <c r="I25" s="18" t="str">
        <f>IF(Table1[[#This Row],[Z-Score_Turnout]]&lt;=-1,"Ultra Low",IF(Table1[[#This Row],[Z-Score_Turnout]]&lt;0,"Low",IF(Table1[[#This Row],[Z-Score_Turnout]]&lt;=1,"High","Ultra High")))</f>
        <v>Ultra High</v>
      </c>
      <c r="J25" s="8" t="s">
        <v>33</v>
      </c>
      <c r="K25" s="11">
        <v>0.44700000000000001</v>
      </c>
      <c r="L25" s="8" t="s">
        <v>34</v>
      </c>
      <c r="M25" s="11">
        <v>0.376</v>
      </c>
      <c r="N25" s="9">
        <v>-7.0999999999999994E-2</v>
      </c>
      <c r="O25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25" s="8" t="s">
        <v>38</v>
      </c>
      <c r="Q25" s="8" t="s">
        <v>33</v>
      </c>
      <c r="R25" s="10">
        <v>0.36499999999999999</v>
      </c>
      <c r="S25" s="10">
        <v>0.49099999999999999</v>
      </c>
      <c r="T25" s="10">
        <v>-0.126</v>
      </c>
      <c r="U25" s="8" t="s">
        <v>37</v>
      </c>
      <c r="V25" s="10" t="s">
        <v>33</v>
      </c>
      <c r="W25" s="9">
        <v>0.23200000000000001</v>
      </c>
      <c r="X25" s="9">
        <v>0.52200000000000002</v>
      </c>
      <c r="Y25" s="9">
        <v>-0.28999999999999998</v>
      </c>
      <c r="Z25" s="11" t="s">
        <v>37</v>
      </c>
      <c r="AA25" s="9" t="str">
        <f>IF(Table1[[#This Row],[2015_winner]]="NDA","W","L")</f>
        <v>L</v>
      </c>
      <c r="AB25" s="9" t="str">
        <f>IF(Table1[[#This Row],[2020_winner]]="NDA","W","L")</f>
        <v>L</v>
      </c>
      <c r="AC25" s="9" t="s">
        <v>100</v>
      </c>
      <c r="AD25" s="9" t="str">
        <f>Table1[[#This Row],[NDA_result_2015]]  &amp; "-" &amp; Table1[[#This Row],[NDA_result_2020]] &amp; "-" &amp; Table1[[#This Row],[NDA_result_2025]]</f>
        <v>L-L-L</v>
      </c>
      <c r="AE25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26" spans="1:31" x14ac:dyDescent="0.25">
      <c r="A26" s="8">
        <v>25</v>
      </c>
      <c r="B26" s="8" t="s">
        <v>29</v>
      </c>
      <c r="C26" s="8" t="s">
        <v>47</v>
      </c>
      <c r="D26" s="8" t="s">
        <v>32</v>
      </c>
      <c r="E26" s="9">
        <v>0.58399999999999996</v>
      </c>
      <c r="F26" s="9">
        <v>0.60968998628257842</v>
      </c>
      <c r="G26" s="9">
        <v>6.8912400775611879E-2</v>
      </c>
      <c r="H26" s="18">
        <f>(Table1[[#This Row],[Voter_Turnout_2025]]-Table1[[#This Row],[Benchmark_mean_turnout]])/Table1[[#This Row],[Benchmark_SD_turnout]]</f>
        <v>-0.37279192124257199</v>
      </c>
      <c r="I26" s="18" t="str">
        <f>IF(Table1[[#This Row],[Z-Score_Turnout]]&lt;=-1,"Ultra Low",IF(Table1[[#This Row],[Z-Score_Turnout]]&lt;0,"Low",IF(Table1[[#This Row],[Z-Score_Turnout]]&lt;=1,"High","Ultra High")))</f>
        <v>Low</v>
      </c>
      <c r="J26" s="8" t="s">
        <v>33</v>
      </c>
      <c r="K26" s="11">
        <v>0.48700000000000004</v>
      </c>
      <c r="L26" s="8" t="s">
        <v>34</v>
      </c>
      <c r="M26" s="11">
        <v>0.45</v>
      </c>
      <c r="N26" s="9">
        <v>-3.6999999999999998E-2</v>
      </c>
      <c r="O26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26" s="8" t="s">
        <v>37</v>
      </c>
      <c r="Q26" s="8" t="s">
        <v>71</v>
      </c>
      <c r="R26" s="10">
        <v>0.374</v>
      </c>
      <c r="S26" s="10">
        <v>0.32</v>
      </c>
      <c r="T26" s="10">
        <v>5.3999999999999999E-2</v>
      </c>
      <c r="U26" s="8" t="s">
        <v>38</v>
      </c>
      <c r="V26" s="10" t="s">
        <v>71</v>
      </c>
      <c r="W26" s="9">
        <v>0.51200000000000001</v>
      </c>
      <c r="X26" s="9">
        <v>0.39600000000000002</v>
      </c>
      <c r="Y26" s="9">
        <v>0.11600000000000001</v>
      </c>
      <c r="Z26" s="11" t="s">
        <v>37</v>
      </c>
      <c r="AA26" s="9" t="str">
        <f>IF(Table1[[#This Row],[2015_winner]]="NDA","W","L")</f>
        <v>W</v>
      </c>
      <c r="AB26" s="9" t="str">
        <f>IF(Table1[[#This Row],[2020_winner]]="NDA","W","L")</f>
        <v>W</v>
      </c>
      <c r="AC26" s="9" t="s">
        <v>100</v>
      </c>
      <c r="AD26" s="9" t="str">
        <f>Table1[[#This Row],[NDA_result_2015]]  &amp; "-" &amp; Table1[[#This Row],[NDA_result_2020]] &amp; "-" &amp; Table1[[#This Row],[NDA_result_2025]]</f>
        <v>W-W-L</v>
      </c>
      <c r="AE26" s="9" t="str">
        <f>IF(Table1[[#This Row],[Electoral_Sequence]]="W-W-L","Core Collapse",IF(Table1[[#This Row],[Electoral_Sequence]]="L-W-L","Swing Seat",IF(Table1[[#This Row],[Electoral_Sequence]]="W-L-L","Early Decline","Chronic Weak")))</f>
        <v>Core Collapse</v>
      </c>
    </row>
    <row r="27" spans="1:31" x14ac:dyDescent="0.25">
      <c r="A27" s="8">
        <v>26</v>
      </c>
      <c r="B27" s="8" t="s">
        <v>46</v>
      </c>
      <c r="C27" s="8" t="s">
        <v>46</v>
      </c>
      <c r="D27" s="8" t="s">
        <v>32</v>
      </c>
      <c r="E27" s="9">
        <v>0.73299999999999998</v>
      </c>
      <c r="F27" s="9">
        <v>0.60968998628257842</v>
      </c>
      <c r="G27" s="9">
        <v>6.8912400775611879E-2</v>
      </c>
      <c r="H27" s="18">
        <f>(Table1[[#This Row],[Voter_Turnout_2025]]-Table1[[#This Row],[Benchmark_mean_turnout]])/Table1[[#This Row],[Benchmark_SD_turnout]]</f>
        <v>1.7893733541360093</v>
      </c>
      <c r="I27" s="18" t="str">
        <f>IF(Table1[[#This Row],[Z-Score_Turnout]]&lt;=-1,"Ultra Low",IF(Table1[[#This Row],[Z-Score_Turnout]]&lt;0,"Low",IF(Table1[[#This Row],[Z-Score_Turnout]]&lt;=1,"High","Ultra High")))</f>
        <v>Ultra High</v>
      </c>
      <c r="J27" s="8" t="s">
        <v>33</v>
      </c>
      <c r="K27" s="11">
        <v>0.37799999999999995</v>
      </c>
      <c r="L27" s="8" t="s">
        <v>34</v>
      </c>
      <c r="M27" s="11">
        <v>0.32600000000000001</v>
      </c>
      <c r="N27" s="9">
        <v>-5.1999999999999998E-2</v>
      </c>
      <c r="O27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27" s="8" t="s">
        <v>38</v>
      </c>
      <c r="Q27" s="8" t="s">
        <v>33</v>
      </c>
      <c r="R27" s="10">
        <v>0.56200000000000006</v>
      </c>
      <c r="S27" s="10">
        <v>0.82300000000000006</v>
      </c>
      <c r="T27" s="10">
        <v>-0.26100000000000001</v>
      </c>
      <c r="U27" s="8" t="s">
        <v>37</v>
      </c>
      <c r="V27" s="10" t="s">
        <v>33</v>
      </c>
      <c r="W27" s="9">
        <v>0.3</v>
      </c>
      <c r="X27" s="9">
        <v>0.52800000000000002</v>
      </c>
      <c r="Y27" s="9">
        <v>-0.22800000000000001</v>
      </c>
      <c r="Z27" s="11" t="s">
        <v>37</v>
      </c>
      <c r="AA27" s="9" t="str">
        <f>IF(Table1[[#This Row],[2015_winner]]="NDA","W","L")</f>
        <v>L</v>
      </c>
      <c r="AB27" s="9" t="str">
        <f>IF(Table1[[#This Row],[2020_winner]]="NDA","W","L")</f>
        <v>L</v>
      </c>
      <c r="AC27" s="9" t="s">
        <v>100</v>
      </c>
      <c r="AD27" s="9" t="str">
        <f>Table1[[#This Row],[NDA_result_2015]]  &amp; "-" &amp; Table1[[#This Row],[NDA_result_2020]] &amp; "-" &amp; Table1[[#This Row],[NDA_result_2025]]</f>
        <v>L-L-L</v>
      </c>
      <c r="AE27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28" spans="1:31" x14ac:dyDescent="0.25">
      <c r="A28" s="8">
        <v>27</v>
      </c>
      <c r="B28" s="8" t="s">
        <v>48</v>
      </c>
      <c r="C28" s="8" t="s">
        <v>49</v>
      </c>
      <c r="D28" s="8" t="s">
        <v>32</v>
      </c>
      <c r="E28" s="9">
        <v>0.748</v>
      </c>
      <c r="F28" s="9">
        <v>0.60968998628257842</v>
      </c>
      <c r="G28" s="9">
        <v>6.8912400775611879E-2</v>
      </c>
      <c r="H28" s="18">
        <f>(Table1[[#This Row],[Voter_Turnout_2025]]-Table1[[#This Row],[Benchmark_mean_turnout]])/Table1[[#This Row],[Benchmark_SD_turnout]]</f>
        <v>2.0070409993083498</v>
      </c>
      <c r="I28" s="18" t="str">
        <f>IF(Table1[[#This Row],[Z-Score_Turnout]]&lt;=-1,"Ultra Low",IF(Table1[[#This Row],[Z-Score_Turnout]]&lt;0,"Low",IF(Table1[[#This Row],[Z-Score_Turnout]]&lt;=1,"High","Ultra High")))</f>
        <v>Ultra High</v>
      </c>
      <c r="J28" s="8" t="s">
        <v>33</v>
      </c>
      <c r="K28" s="11">
        <v>0.40100000000000002</v>
      </c>
      <c r="L28" s="8" t="s">
        <v>34</v>
      </c>
      <c r="M28" s="11">
        <v>0.39799999999999996</v>
      </c>
      <c r="N28" s="9">
        <v>-3.0000000000000001E-3</v>
      </c>
      <c r="O28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28" s="8" t="s">
        <v>38</v>
      </c>
      <c r="Q28" s="8" t="s">
        <v>71</v>
      </c>
      <c r="R28" s="10">
        <v>0.48499999999999999</v>
      </c>
      <c r="S28" s="10">
        <v>0.40699999999999997</v>
      </c>
      <c r="T28" s="10">
        <v>7.8E-2</v>
      </c>
      <c r="U28" s="8" t="s">
        <v>37</v>
      </c>
      <c r="V28" s="10" t="s">
        <v>71</v>
      </c>
      <c r="W28" s="9">
        <v>0.39</v>
      </c>
      <c r="X28" s="9">
        <v>0.38700000000000001</v>
      </c>
      <c r="Y28" s="9">
        <v>3.0000000000000001E-3</v>
      </c>
      <c r="Z28" s="11" t="s">
        <v>37</v>
      </c>
      <c r="AA28" s="9" t="str">
        <f>IF(Table1[[#This Row],[2015_winner]]="NDA","W","L")</f>
        <v>W</v>
      </c>
      <c r="AB28" s="9" t="str">
        <f>IF(Table1[[#This Row],[2020_winner]]="NDA","W","L")</f>
        <v>W</v>
      </c>
      <c r="AC28" s="9" t="s">
        <v>100</v>
      </c>
      <c r="AD28" s="9" t="str">
        <f>Table1[[#This Row],[NDA_result_2015]]  &amp; "-" &amp; Table1[[#This Row],[NDA_result_2020]] &amp; "-" &amp; Table1[[#This Row],[NDA_result_2025]]</f>
        <v>W-W-L</v>
      </c>
      <c r="AE28" s="9" t="str">
        <f>IF(Table1[[#This Row],[Electoral_Sequence]]="W-W-L","Core Collapse",IF(Table1[[#This Row],[Electoral_Sequence]]="L-W-L","Swing Seat",IF(Table1[[#This Row],[Electoral_Sequence]]="W-L-L","Early Decline","Chronic Weak")))</f>
        <v>Core Collapse</v>
      </c>
    </row>
    <row r="29" spans="1:31" x14ac:dyDescent="0.25">
      <c r="A29" s="8">
        <v>28</v>
      </c>
      <c r="B29" s="8" t="s">
        <v>50</v>
      </c>
      <c r="C29" s="8" t="s">
        <v>46</v>
      </c>
      <c r="D29" s="8" t="s">
        <v>32</v>
      </c>
      <c r="E29" s="9">
        <v>0.70299999999999996</v>
      </c>
      <c r="F29" s="9">
        <v>0.60968998628257842</v>
      </c>
      <c r="G29" s="9">
        <v>6.8912400775611879E-2</v>
      </c>
      <c r="H29" s="18">
        <f>(Table1[[#This Row],[Voter_Turnout_2025]]-Table1[[#This Row],[Benchmark_mean_turnout]])/Table1[[#This Row],[Benchmark_SD_turnout]]</f>
        <v>1.3540380637913283</v>
      </c>
      <c r="I29" s="18" t="str">
        <f>IF(Table1[[#This Row],[Z-Score_Turnout]]&lt;=-1,"Ultra Low",IF(Table1[[#This Row],[Z-Score_Turnout]]&lt;0,"Low",IF(Table1[[#This Row],[Z-Score_Turnout]]&lt;=1,"High","Ultra High")))</f>
        <v>Ultra High</v>
      </c>
      <c r="J29" s="8" t="s">
        <v>33</v>
      </c>
      <c r="K29" s="11">
        <v>0.47799999999999998</v>
      </c>
      <c r="L29" s="8" t="s">
        <v>34</v>
      </c>
      <c r="M29" s="11">
        <v>0.47700000000000004</v>
      </c>
      <c r="N29" s="9">
        <v>-1E-3</v>
      </c>
      <c r="O29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29" s="8" t="s">
        <v>38</v>
      </c>
      <c r="Q29" s="8" t="s">
        <v>71</v>
      </c>
      <c r="R29" s="10">
        <v>0.504</v>
      </c>
      <c r="S29" s="10">
        <v>0.40700000000000003</v>
      </c>
      <c r="T29" s="10">
        <v>9.7000000000000003E-2</v>
      </c>
      <c r="U29" s="8" t="s">
        <v>37</v>
      </c>
      <c r="V29" s="10" t="s">
        <v>71</v>
      </c>
      <c r="W29" s="9">
        <v>0.46200000000000002</v>
      </c>
      <c r="X29" s="9">
        <v>0.32600000000000001</v>
      </c>
      <c r="Y29" s="9">
        <v>0.13600000000000001</v>
      </c>
      <c r="Z29" s="11" t="s">
        <v>37</v>
      </c>
      <c r="AA29" s="9" t="str">
        <f>IF(Table1[[#This Row],[2015_winner]]="NDA","W","L")</f>
        <v>W</v>
      </c>
      <c r="AB29" s="9" t="str">
        <f>IF(Table1[[#This Row],[2020_winner]]="NDA","W","L")</f>
        <v>W</v>
      </c>
      <c r="AC29" s="9" t="s">
        <v>100</v>
      </c>
      <c r="AD29" s="9" t="str">
        <f>Table1[[#This Row],[NDA_result_2015]]  &amp; "-" &amp; Table1[[#This Row],[NDA_result_2020]] &amp; "-" &amp; Table1[[#This Row],[NDA_result_2025]]</f>
        <v>W-W-L</v>
      </c>
      <c r="AE29" s="9" t="str">
        <f>IF(Table1[[#This Row],[Electoral_Sequence]]="W-W-L","Core Collapse",IF(Table1[[#This Row],[Electoral_Sequence]]="L-W-L","Swing Seat",IF(Table1[[#This Row],[Electoral_Sequence]]="W-L-L","Early Decline","Chronic Weak")))</f>
        <v>Core Collapse</v>
      </c>
    </row>
    <row r="30" spans="1:31" x14ac:dyDescent="0.25">
      <c r="A30" s="8">
        <v>29</v>
      </c>
      <c r="B30" s="8" t="s">
        <v>51</v>
      </c>
      <c r="C30" s="8" t="s">
        <v>51</v>
      </c>
      <c r="D30" s="8" t="s">
        <v>32</v>
      </c>
      <c r="E30" s="9">
        <v>0.81</v>
      </c>
      <c r="F30" s="9">
        <v>0.60968998628257842</v>
      </c>
      <c r="G30" s="9">
        <v>6.8912400775611879E-2</v>
      </c>
      <c r="H30" s="18">
        <f>(Table1[[#This Row],[Voter_Turnout_2025]]-Table1[[#This Row],[Benchmark_mean_turnout]])/Table1[[#This Row],[Benchmark_SD_turnout]]</f>
        <v>2.9067339326873576</v>
      </c>
      <c r="I30" s="18" t="str">
        <f>IF(Table1[[#This Row],[Z-Score_Turnout]]&lt;=-1,"Ultra Low",IF(Table1[[#This Row],[Z-Score_Turnout]]&lt;0,"Low",IF(Table1[[#This Row],[Z-Score_Turnout]]&lt;=1,"High","Ultra High")))</f>
        <v>Ultra High</v>
      </c>
      <c r="J30" s="8" t="s">
        <v>33</v>
      </c>
      <c r="K30" s="11">
        <v>0.39500000000000002</v>
      </c>
      <c r="L30" s="8" t="s">
        <v>34</v>
      </c>
      <c r="M30" s="11">
        <v>0.33899999999999997</v>
      </c>
      <c r="N30" s="9">
        <v>-5.6000000000000001E-2</v>
      </c>
      <c r="O30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30" s="8" t="s">
        <v>38</v>
      </c>
      <c r="Q30" s="8" t="s">
        <v>33</v>
      </c>
      <c r="R30" s="10">
        <v>0.33600000000000002</v>
      </c>
      <c r="S30" s="10">
        <v>0.34400000000000003</v>
      </c>
      <c r="T30" s="10">
        <v>-8.0000000000000002E-3</v>
      </c>
      <c r="U30" s="8" t="s">
        <v>38</v>
      </c>
      <c r="V30" s="10" t="s">
        <v>33</v>
      </c>
      <c r="W30" s="9">
        <v>0.33800000000000002</v>
      </c>
      <c r="X30" s="9">
        <v>0.38800000000000001</v>
      </c>
      <c r="Y30" s="9">
        <v>-0.05</v>
      </c>
      <c r="Z30" s="11" t="s">
        <v>37</v>
      </c>
      <c r="AA30" s="9" t="str">
        <f>IF(Table1[[#This Row],[2015_winner]]="NDA","W","L")</f>
        <v>L</v>
      </c>
      <c r="AB30" s="9" t="str">
        <f>IF(Table1[[#This Row],[2020_winner]]="NDA","W","L")</f>
        <v>L</v>
      </c>
      <c r="AC30" s="9" t="s">
        <v>100</v>
      </c>
      <c r="AD30" s="9" t="str">
        <f>Table1[[#This Row],[NDA_result_2015]]  &amp; "-" &amp; Table1[[#This Row],[NDA_result_2020]] &amp; "-" &amp; Table1[[#This Row],[NDA_result_2025]]</f>
        <v>L-L-L</v>
      </c>
      <c r="AE30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1" spans="1:31" x14ac:dyDescent="0.25">
      <c r="A31" s="8">
        <v>30</v>
      </c>
      <c r="B31" s="8" t="s">
        <v>52</v>
      </c>
      <c r="C31" s="8" t="s">
        <v>53</v>
      </c>
      <c r="D31" s="8" t="s">
        <v>54</v>
      </c>
      <c r="E31" s="9">
        <v>0.80599999999999994</v>
      </c>
      <c r="F31" s="9">
        <v>0.60968998628257842</v>
      </c>
      <c r="G31" s="9">
        <v>6.8912400775611879E-2</v>
      </c>
      <c r="H31" s="18">
        <f>(Table1[[#This Row],[Voter_Turnout_2025]]-Table1[[#This Row],[Benchmark_mean_turnout]])/Table1[[#This Row],[Benchmark_SD_turnout]]</f>
        <v>2.8486892273080651</v>
      </c>
      <c r="I31" s="18" t="str">
        <f>IF(Table1[[#This Row],[Z-Score_Turnout]]&lt;=-1,"Ultra Low",IF(Table1[[#This Row],[Z-Score_Turnout]]&lt;0,"Low",IF(Table1[[#This Row],[Z-Score_Turnout]]&lt;=1,"High","Ultra High")))</f>
        <v>Ultra High</v>
      </c>
      <c r="J31" s="8" t="s">
        <v>33</v>
      </c>
      <c r="K31" s="11">
        <v>0.48200000000000004</v>
      </c>
      <c r="L31" s="8" t="s">
        <v>34</v>
      </c>
      <c r="M31" s="11">
        <v>0.41799999999999998</v>
      </c>
      <c r="N31" s="9">
        <v>-6.4000000000000001E-2</v>
      </c>
      <c r="O31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31" s="8" t="s">
        <v>37</v>
      </c>
      <c r="Q31" s="8" t="s">
        <v>33</v>
      </c>
      <c r="R31" s="10">
        <v>0.34799999999999998</v>
      </c>
      <c r="S31" s="10">
        <v>0.46699999999999997</v>
      </c>
      <c r="T31" s="10">
        <v>-0.11899999999999999</v>
      </c>
      <c r="U31" s="8" t="s">
        <v>37</v>
      </c>
      <c r="V31" s="10" t="s">
        <v>33</v>
      </c>
      <c r="W31" s="9">
        <v>0.30199999999999999</v>
      </c>
      <c r="X31" s="9">
        <v>0.38800000000000001</v>
      </c>
      <c r="Y31" s="9">
        <v>-8.5999999999999993E-2</v>
      </c>
      <c r="Z31" s="11" t="s">
        <v>37</v>
      </c>
      <c r="AA31" s="9" t="str">
        <f>IF(Table1[[#This Row],[2015_winner]]="NDA","W","L")</f>
        <v>L</v>
      </c>
      <c r="AB31" s="9" t="str">
        <f>IF(Table1[[#This Row],[2020_winner]]="NDA","W","L")</f>
        <v>L</v>
      </c>
      <c r="AC31" s="9" t="s">
        <v>100</v>
      </c>
      <c r="AD31" s="9" t="str">
        <f>Table1[[#This Row],[NDA_result_2015]]  &amp; "-" &amp; Table1[[#This Row],[NDA_result_2020]] &amp; "-" &amp; Table1[[#This Row],[NDA_result_2025]]</f>
        <v>L-L-L</v>
      </c>
      <c r="AE31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2" spans="1:31" x14ac:dyDescent="0.25">
      <c r="A32" s="8">
        <v>31</v>
      </c>
      <c r="B32" s="8" t="s">
        <v>55</v>
      </c>
      <c r="C32" s="8" t="s">
        <v>49</v>
      </c>
      <c r="D32" s="8" t="s">
        <v>32</v>
      </c>
      <c r="E32" s="9">
        <v>0.70900000000000007</v>
      </c>
      <c r="F32" s="9">
        <v>0.60968998628257842</v>
      </c>
      <c r="G32" s="9">
        <v>6.8912400775611879E-2</v>
      </c>
      <c r="H32" s="18">
        <f>(Table1[[#This Row],[Voter_Turnout_2025]]-Table1[[#This Row],[Benchmark_mean_turnout]])/Table1[[#This Row],[Benchmark_SD_turnout]]</f>
        <v>1.4411051218602662</v>
      </c>
      <c r="I32" s="18" t="str">
        <f>IF(Table1[[#This Row],[Z-Score_Turnout]]&lt;=-1,"Ultra Low",IF(Table1[[#This Row],[Z-Score_Turnout]]&lt;0,"Low",IF(Table1[[#This Row],[Z-Score_Turnout]]&lt;=1,"High","Ultra High")))</f>
        <v>Ultra High</v>
      </c>
      <c r="J32" s="8" t="s">
        <v>33</v>
      </c>
      <c r="K32" s="11">
        <v>0.46100000000000002</v>
      </c>
      <c r="L32" s="8" t="s">
        <v>34</v>
      </c>
      <c r="M32" s="11">
        <v>0.45399999999999996</v>
      </c>
      <c r="N32" s="9">
        <v>-7.0000000000000001E-3</v>
      </c>
      <c r="O32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32" s="8" t="s">
        <v>37</v>
      </c>
      <c r="Q32" s="8" t="s">
        <v>71</v>
      </c>
      <c r="R32" s="10">
        <v>0.4</v>
      </c>
      <c r="S32" s="10">
        <v>0.28500000000000003</v>
      </c>
      <c r="T32" s="10">
        <v>0.115</v>
      </c>
      <c r="U32" s="8" t="s">
        <v>37</v>
      </c>
      <c r="V32" s="10" t="s">
        <v>62</v>
      </c>
      <c r="W32" s="9">
        <v>0.17799999999999999</v>
      </c>
      <c r="X32" s="9">
        <v>0.36199999999999999</v>
      </c>
      <c r="Y32" s="9">
        <v>-0.184</v>
      </c>
      <c r="Z32" s="11" t="s">
        <v>38</v>
      </c>
      <c r="AA32" s="9" t="str">
        <f>IF(Table1[[#This Row],[2015_winner]]="NDA","W","L")</f>
        <v>L</v>
      </c>
      <c r="AB32" s="9" t="str">
        <f>IF(Table1[[#This Row],[2020_winner]]="NDA","W","L")</f>
        <v>W</v>
      </c>
      <c r="AC32" s="9" t="s">
        <v>100</v>
      </c>
      <c r="AD32" s="9" t="str">
        <f>Table1[[#This Row],[NDA_result_2015]]  &amp; "-" &amp; Table1[[#This Row],[NDA_result_2020]] &amp; "-" &amp; Table1[[#This Row],[NDA_result_2025]]</f>
        <v>L-W-L</v>
      </c>
      <c r="AE32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33" spans="1:31" x14ac:dyDescent="0.25">
      <c r="A33" s="8">
        <v>32</v>
      </c>
      <c r="B33" s="8" t="s">
        <v>56</v>
      </c>
      <c r="C33" s="8" t="s">
        <v>57</v>
      </c>
      <c r="D33" s="8" t="s">
        <v>32</v>
      </c>
      <c r="E33" s="9">
        <v>0.60199999999999998</v>
      </c>
      <c r="F33" s="9">
        <v>0.60968998628257842</v>
      </c>
      <c r="G33" s="9">
        <v>6.8912400775611879E-2</v>
      </c>
      <c r="H33" s="18">
        <f>(Table1[[#This Row],[Voter_Turnout_2025]]-Table1[[#This Row],[Benchmark_mean_turnout]])/Table1[[#This Row],[Benchmark_SD_turnout]]</f>
        <v>-0.11159074703576329</v>
      </c>
      <c r="I33" s="18" t="str">
        <f>IF(Table1[[#This Row],[Z-Score_Turnout]]&lt;=-1,"Ultra Low",IF(Table1[[#This Row],[Z-Score_Turnout]]&lt;0,"Low",IF(Table1[[#This Row],[Z-Score_Turnout]]&lt;=1,"High","Ultra High")))</f>
        <v>Low</v>
      </c>
      <c r="J33" s="8" t="s">
        <v>33</v>
      </c>
      <c r="K33" s="11">
        <v>0.375</v>
      </c>
      <c r="L33" s="8" t="s">
        <v>34</v>
      </c>
      <c r="M33" s="11">
        <v>0.36899999999999999</v>
      </c>
      <c r="N33" s="9">
        <v>-6.0000000000000001E-3</v>
      </c>
      <c r="O33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33" s="8" t="s">
        <v>37</v>
      </c>
      <c r="Q33" s="8" t="s">
        <v>33</v>
      </c>
      <c r="R33" s="10">
        <v>0.38300000000000001</v>
      </c>
      <c r="S33" s="10">
        <v>0.49099999999999999</v>
      </c>
      <c r="T33" s="10">
        <v>-0.108</v>
      </c>
      <c r="U33" s="8" t="s">
        <v>37</v>
      </c>
      <c r="V33" s="10" t="s">
        <v>33</v>
      </c>
      <c r="W33" s="9">
        <v>0.311</v>
      </c>
      <c r="X33" s="9">
        <v>0.39</v>
      </c>
      <c r="Y33" s="9">
        <v>-7.9000000000000001E-2</v>
      </c>
      <c r="Z33" s="11" t="s">
        <v>38</v>
      </c>
      <c r="AA33" s="9" t="str">
        <f>IF(Table1[[#This Row],[2015_winner]]="NDA","W","L")</f>
        <v>L</v>
      </c>
      <c r="AB33" s="9" t="str">
        <f>IF(Table1[[#This Row],[2020_winner]]="NDA","W","L")</f>
        <v>L</v>
      </c>
      <c r="AC33" s="9" t="s">
        <v>100</v>
      </c>
      <c r="AD33" s="9" t="str">
        <f>Table1[[#This Row],[NDA_result_2015]]  &amp; "-" &amp; Table1[[#This Row],[NDA_result_2020]] &amp; "-" &amp; Table1[[#This Row],[NDA_result_2025]]</f>
        <v>L-L-L</v>
      </c>
      <c r="AE33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4" spans="1:31" x14ac:dyDescent="0.25">
      <c r="A34" s="8">
        <v>33</v>
      </c>
      <c r="B34" s="8" t="s">
        <v>58</v>
      </c>
      <c r="C34" s="8" t="s">
        <v>40</v>
      </c>
      <c r="D34" s="8" t="s">
        <v>32</v>
      </c>
      <c r="E34" s="9">
        <v>0.64900000000000002</v>
      </c>
      <c r="F34" s="9">
        <v>0.60968998628257842</v>
      </c>
      <c r="G34" s="9">
        <v>6.8912400775611879E-2</v>
      </c>
      <c r="H34" s="18">
        <f>(Table1[[#This Row],[Voter_Turnout_2025]]-Table1[[#This Row],[Benchmark_mean_turnout]])/Table1[[#This Row],[Benchmark_SD_turnout]]</f>
        <v>0.57043454117090386</v>
      </c>
      <c r="I34" s="18" t="str">
        <f>IF(Table1[[#This Row],[Z-Score_Turnout]]&lt;=-1,"Ultra Low",IF(Table1[[#This Row],[Z-Score_Turnout]]&lt;0,"Low",IF(Table1[[#This Row],[Z-Score_Turnout]]&lt;=1,"High","Ultra High")))</f>
        <v>High</v>
      </c>
      <c r="J34" s="8" t="s">
        <v>33</v>
      </c>
      <c r="K34" s="11">
        <v>0.44500000000000001</v>
      </c>
      <c r="L34" s="8" t="s">
        <v>34</v>
      </c>
      <c r="M34" s="11">
        <v>0.40799999999999997</v>
      </c>
      <c r="N34" s="9">
        <v>-3.6999999999999998E-2</v>
      </c>
      <c r="O34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Close Loss</v>
      </c>
      <c r="P34" s="8" t="s">
        <v>37</v>
      </c>
      <c r="Q34" s="8" t="s">
        <v>33</v>
      </c>
      <c r="R34" s="10">
        <v>0.24099999999999999</v>
      </c>
      <c r="S34" s="10">
        <v>0.443</v>
      </c>
      <c r="T34" s="10">
        <v>-0.20200000000000001</v>
      </c>
      <c r="U34" s="8" t="s">
        <v>37</v>
      </c>
      <c r="V34" s="10" t="s">
        <v>33</v>
      </c>
      <c r="W34" s="9">
        <v>0.28399999999999997</v>
      </c>
      <c r="X34" s="9">
        <v>0.45099999999999996</v>
      </c>
      <c r="Y34" s="9">
        <v>-0.16700000000000001</v>
      </c>
      <c r="Z34" s="11" t="s">
        <v>37</v>
      </c>
      <c r="AA34" s="9" t="str">
        <f>IF(Table1[[#This Row],[2015_winner]]="NDA","W","L")</f>
        <v>L</v>
      </c>
      <c r="AB34" s="9" t="str">
        <f>IF(Table1[[#This Row],[2020_winner]]="NDA","W","L")</f>
        <v>L</v>
      </c>
      <c r="AC34" s="9" t="s">
        <v>100</v>
      </c>
      <c r="AD34" s="9" t="str">
        <f>Table1[[#This Row],[NDA_result_2015]]  &amp; "-" &amp; Table1[[#This Row],[NDA_result_2020]] &amp; "-" &amp; Table1[[#This Row],[NDA_result_2025]]</f>
        <v>L-L-L</v>
      </c>
      <c r="AE34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5" spans="1:31" x14ac:dyDescent="0.25">
      <c r="A35" s="8">
        <v>34</v>
      </c>
      <c r="B35" s="8" t="s">
        <v>59</v>
      </c>
      <c r="C35" s="8" t="s">
        <v>42</v>
      </c>
      <c r="D35" s="8" t="s">
        <v>32</v>
      </c>
      <c r="E35" s="9">
        <v>0.71700000000000008</v>
      </c>
      <c r="F35" s="9">
        <v>0.60968998628257842</v>
      </c>
      <c r="G35" s="9">
        <v>6.8912400775611879E-2</v>
      </c>
      <c r="H35" s="18">
        <f>(Table1[[#This Row],[Voter_Turnout_2025]]-Table1[[#This Row],[Benchmark_mean_turnout]])/Table1[[#This Row],[Benchmark_SD_turnout]]</f>
        <v>1.5571945326188477</v>
      </c>
      <c r="I35" s="18" t="str">
        <f>IF(Table1[[#This Row],[Z-Score_Turnout]]&lt;=-1,"Ultra Low",IF(Table1[[#This Row],[Z-Score_Turnout]]&lt;0,"Low",IF(Table1[[#This Row],[Z-Score_Turnout]]&lt;=1,"High","Ultra High")))</f>
        <v>Ultra High</v>
      </c>
      <c r="J35" s="8" t="s">
        <v>33</v>
      </c>
      <c r="K35" s="11">
        <v>0.40399999999999997</v>
      </c>
      <c r="L35" s="8" t="s">
        <v>34</v>
      </c>
      <c r="M35" s="11">
        <v>0.35100000000000003</v>
      </c>
      <c r="N35" s="9">
        <v>-5.2999999999999999E-2</v>
      </c>
      <c r="O35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Moderate Loss</v>
      </c>
      <c r="P35" s="8" t="s">
        <v>37</v>
      </c>
      <c r="Q35" s="8" t="s">
        <v>33</v>
      </c>
      <c r="R35" s="10">
        <v>0.21</v>
      </c>
      <c r="S35" s="10">
        <v>0.46499999999999997</v>
      </c>
      <c r="T35" s="10">
        <v>-0.255</v>
      </c>
      <c r="U35" s="8" t="s">
        <v>38</v>
      </c>
      <c r="V35" s="10" t="s">
        <v>33</v>
      </c>
      <c r="W35" s="9">
        <v>0.222</v>
      </c>
      <c r="X35" s="9">
        <v>0.39800000000000002</v>
      </c>
      <c r="Y35" s="9">
        <v>-0.17599999999999999</v>
      </c>
      <c r="Z35" s="11" t="s">
        <v>38</v>
      </c>
      <c r="AA35" s="9" t="str">
        <f>IF(Table1[[#This Row],[2015_winner]]="NDA","W","L")</f>
        <v>L</v>
      </c>
      <c r="AB35" s="9" t="str">
        <f>IF(Table1[[#This Row],[2020_winner]]="NDA","W","L")</f>
        <v>L</v>
      </c>
      <c r="AC35" s="9" t="s">
        <v>100</v>
      </c>
      <c r="AD35" s="9" t="str">
        <f>Table1[[#This Row],[NDA_result_2015]]  &amp; "-" &amp; Table1[[#This Row],[NDA_result_2020]] &amp; "-" &amp; Table1[[#This Row],[NDA_result_2025]]</f>
        <v>L-L-L</v>
      </c>
      <c r="AE35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6" spans="1:31" x14ac:dyDescent="0.25">
      <c r="A36" s="8">
        <v>35</v>
      </c>
      <c r="B36" s="8" t="s">
        <v>39</v>
      </c>
      <c r="C36" s="8" t="s">
        <v>39</v>
      </c>
      <c r="D36" s="8" t="s">
        <v>32</v>
      </c>
      <c r="E36" s="9">
        <v>0.70400000000000007</v>
      </c>
      <c r="F36" s="9">
        <v>0.60968998628257842</v>
      </c>
      <c r="G36" s="9">
        <v>6.8912400775611879E-2</v>
      </c>
      <c r="H36" s="18">
        <f>(Table1[[#This Row],[Voter_Turnout_2025]]-Table1[[#This Row],[Benchmark_mean_turnout]])/Table1[[#This Row],[Benchmark_SD_turnout]]</f>
        <v>1.3685492401361525</v>
      </c>
      <c r="I36" s="18" t="str">
        <f>IF(Table1[[#This Row],[Z-Score_Turnout]]&lt;=-1,"Ultra Low",IF(Table1[[#This Row],[Z-Score_Turnout]]&lt;0,"Low",IF(Table1[[#This Row],[Z-Score_Turnout]]&lt;=1,"High","Ultra High")))</f>
        <v>Ultra High</v>
      </c>
      <c r="J36" s="8" t="s">
        <v>33</v>
      </c>
      <c r="K36" s="11">
        <v>0.44299999999999995</v>
      </c>
      <c r="L36" s="8" t="s">
        <v>34</v>
      </c>
      <c r="M36" s="11">
        <v>0.435</v>
      </c>
      <c r="N36" s="9">
        <v>-8.0000000000000002E-3</v>
      </c>
      <c r="O36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36" s="8" t="s">
        <v>37</v>
      </c>
      <c r="Q36" s="8" t="s">
        <v>71</v>
      </c>
      <c r="R36" s="10">
        <v>0.46700000000000003</v>
      </c>
      <c r="S36" s="10">
        <v>0.378</v>
      </c>
      <c r="T36" s="10">
        <v>8.8999999999999996E-2</v>
      </c>
      <c r="U36" s="8" t="s">
        <v>37</v>
      </c>
      <c r="V36" s="10" t="s">
        <v>33</v>
      </c>
      <c r="W36" s="9">
        <v>0.32800000000000001</v>
      </c>
      <c r="X36" s="9">
        <v>0.53</v>
      </c>
      <c r="Y36" s="9">
        <v>-0.20200000000000001</v>
      </c>
      <c r="Z36" s="11" t="s">
        <v>38</v>
      </c>
      <c r="AA36" s="9" t="str">
        <f>IF(Table1[[#This Row],[2015_winner]]="NDA","W","L")</f>
        <v>L</v>
      </c>
      <c r="AB36" s="9" t="str">
        <f>IF(Table1[[#This Row],[2020_winner]]="NDA","W","L")</f>
        <v>W</v>
      </c>
      <c r="AC36" s="9" t="s">
        <v>100</v>
      </c>
      <c r="AD36" s="9" t="str">
        <f>Table1[[#This Row],[NDA_result_2015]]  &amp; "-" &amp; Table1[[#This Row],[NDA_result_2020]] &amp; "-" &amp; Table1[[#This Row],[NDA_result_2025]]</f>
        <v>L-W-L</v>
      </c>
      <c r="AE36" s="9" t="str">
        <f>IF(Table1[[#This Row],[Electoral_Sequence]]="W-W-L","Core Collapse",IF(Table1[[#This Row],[Electoral_Sequence]]="L-W-L","Swing Seat",IF(Table1[[#This Row],[Electoral_Sequence]]="W-L-L","Early Decline","Chronic Weak")))</f>
        <v>Swing Seat</v>
      </c>
    </row>
    <row r="37" spans="1:31" x14ac:dyDescent="0.25">
      <c r="A37" s="8">
        <v>36</v>
      </c>
      <c r="B37" s="8" t="s">
        <v>60</v>
      </c>
      <c r="C37" s="8" t="s">
        <v>61</v>
      </c>
      <c r="D37" s="8" t="s">
        <v>32</v>
      </c>
      <c r="E37" s="9">
        <v>0.748</v>
      </c>
      <c r="F37" s="9">
        <v>0.60968998628257842</v>
      </c>
      <c r="G37" s="9">
        <v>6.8912400775611879E-2</v>
      </c>
      <c r="H37" s="18">
        <f>(Table1[[#This Row],[Voter_Turnout_2025]]-Table1[[#This Row],[Benchmark_mean_turnout]])/Table1[[#This Row],[Benchmark_SD_turnout]]</f>
        <v>2.0070409993083498</v>
      </c>
      <c r="I37" s="18" t="str">
        <f>IF(Table1[[#This Row],[Z-Score_Turnout]]&lt;=-1,"Ultra Low",IF(Table1[[#This Row],[Z-Score_Turnout]]&lt;0,"Low",IF(Table1[[#This Row],[Z-Score_Turnout]]&lt;=1,"High","Ultra High")))</f>
        <v>Ultra High</v>
      </c>
      <c r="J37" s="8" t="s">
        <v>62</v>
      </c>
      <c r="K37" s="11">
        <v>0.435</v>
      </c>
      <c r="L37" s="8" t="s">
        <v>34</v>
      </c>
      <c r="M37" s="9">
        <v>0.26200000000000001</v>
      </c>
      <c r="N37" s="9">
        <v>-0.17299999999999999</v>
      </c>
      <c r="O37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Landslide Loss</v>
      </c>
      <c r="P37" s="8" t="s">
        <v>38</v>
      </c>
      <c r="Q37" s="8" t="s">
        <v>62</v>
      </c>
      <c r="R37" s="10">
        <v>0.23400000000000001</v>
      </c>
      <c r="S37" s="10">
        <v>0.52600000000000002</v>
      </c>
      <c r="T37" s="10">
        <v>-0.29199999999999998</v>
      </c>
      <c r="U37" s="8" t="s">
        <v>38</v>
      </c>
      <c r="V37" s="10" t="s">
        <v>33</v>
      </c>
      <c r="W37" s="9">
        <v>0.28399999999999997</v>
      </c>
      <c r="X37" s="9">
        <v>0.59099999999999997</v>
      </c>
      <c r="Y37" s="9">
        <v>-0.307</v>
      </c>
      <c r="Z37" s="11" t="s">
        <v>37</v>
      </c>
      <c r="AA37" s="9" t="str">
        <f>IF(Table1[[#This Row],[2015_winner]]="NDA","W","L")</f>
        <v>L</v>
      </c>
      <c r="AB37" s="9" t="str">
        <f>IF(Table1[[#This Row],[2020_winner]]="NDA","W","L")</f>
        <v>L</v>
      </c>
      <c r="AC37" s="9" t="s">
        <v>100</v>
      </c>
      <c r="AD37" s="9" t="str">
        <f>Table1[[#This Row],[NDA_result_2015]]  &amp; "-" &amp; Table1[[#This Row],[NDA_result_2020]] &amp; "-" &amp; Table1[[#This Row],[NDA_result_2025]]</f>
        <v>L-L-L</v>
      </c>
      <c r="AE37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8" spans="1:31" x14ac:dyDescent="0.25">
      <c r="A38" s="8">
        <v>37</v>
      </c>
      <c r="B38" s="8" t="s">
        <v>63</v>
      </c>
      <c r="C38" s="8" t="s">
        <v>51</v>
      </c>
      <c r="D38" s="8" t="s">
        <v>32</v>
      </c>
      <c r="E38" s="9">
        <v>0.755</v>
      </c>
      <c r="F38" s="9">
        <v>0.60968998628257842</v>
      </c>
      <c r="G38" s="9">
        <v>6.8912400775611879E-2</v>
      </c>
      <c r="H38" s="18">
        <f>(Table1[[#This Row],[Voter_Turnout_2025]]-Table1[[#This Row],[Benchmark_mean_turnout]])/Table1[[#This Row],[Benchmark_SD_turnout]]</f>
        <v>2.1086192337221088</v>
      </c>
      <c r="I38" s="18" t="str">
        <f>IF(Table1[[#This Row],[Z-Score_Turnout]]&lt;=-1,"Ultra Low",IF(Table1[[#This Row],[Z-Score_Turnout]]&lt;0,"Low",IF(Table1[[#This Row],[Z-Score_Turnout]]&lt;=1,"High","Ultra High")))</f>
        <v>Ultra High</v>
      </c>
      <c r="J38" s="8" t="s">
        <v>62</v>
      </c>
      <c r="K38" s="11">
        <v>0.40200000000000002</v>
      </c>
      <c r="L38" s="8" t="s">
        <v>64</v>
      </c>
      <c r="M38" s="9">
        <v>0.26300000000000001</v>
      </c>
      <c r="N38" s="9">
        <v>-0.13900000000000001</v>
      </c>
      <c r="O38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Heavy Loss</v>
      </c>
      <c r="P38" s="8" t="s">
        <v>38</v>
      </c>
      <c r="Q38" s="8" t="s">
        <v>62</v>
      </c>
      <c r="R38" s="10">
        <v>0.24199999999999999</v>
      </c>
      <c r="S38" s="10">
        <v>0.51200000000000001</v>
      </c>
      <c r="T38" s="10">
        <v>-0.27</v>
      </c>
      <c r="U38" s="8" t="s">
        <v>38</v>
      </c>
      <c r="V38" s="10" t="s">
        <v>33</v>
      </c>
      <c r="W38" s="9">
        <v>0.248</v>
      </c>
      <c r="X38" s="9">
        <v>0.33499999999999996</v>
      </c>
      <c r="Y38" s="9">
        <v>-8.6999999999999994E-2</v>
      </c>
      <c r="Z38" s="11" t="s">
        <v>38</v>
      </c>
      <c r="AA38" s="9" t="str">
        <f>IF(Table1[[#This Row],[2015_winner]]="NDA","W","L")</f>
        <v>L</v>
      </c>
      <c r="AB38" s="9" t="str">
        <f>IF(Table1[[#This Row],[2020_winner]]="NDA","W","L")</f>
        <v>L</v>
      </c>
      <c r="AC38" s="9" t="s">
        <v>100</v>
      </c>
      <c r="AD38" s="9" t="str">
        <f>Table1[[#This Row],[NDA_result_2015]]  &amp; "-" &amp; Table1[[#This Row],[NDA_result_2020]] &amp; "-" &amp; Table1[[#This Row],[NDA_result_2025]]</f>
        <v>L-L-L</v>
      </c>
      <c r="AE38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39" spans="1:31" x14ac:dyDescent="0.25">
      <c r="A39" s="8">
        <v>38</v>
      </c>
      <c r="B39" s="8" t="s">
        <v>65</v>
      </c>
      <c r="C39" s="8" t="s">
        <v>61</v>
      </c>
      <c r="D39" s="8" t="s">
        <v>32</v>
      </c>
      <c r="E39" s="9">
        <v>0.78599999999999992</v>
      </c>
      <c r="F39" s="9">
        <v>0.60968998628257842</v>
      </c>
      <c r="G39" s="9">
        <v>6.8912400775611879E-2</v>
      </c>
      <c r="H39" s="18">
        <f>(Table1[[#This Row],[Voter_Turnout_2025]]-Table1[[#This Row],[Benchmark_mean_turnout]])/Table1[[#This Row],[Benchmark_SD_turnout]]</f>
        <v>2.5584657004116109</v>
      </c>
      <c r="I39" s="18" t="str">
        <f>IF(Table1[[#This Row],[Z-Score_Turnout]]&lt;=-1,"Ultra Low",IF(Table1[[#This Row],[Z-Score_Turnout]]&lt;0,"Low",IF(Table1[[#This Row],[Z-Score_Turnout]]&lt;=1,"High","Ultra High")))</f>
        <v>Ultra High</v>
      </c>
      <c r="J39" s="8" t="s">
        <v>62</v>
      </c>
      <c r="K39" s="11">
        <v>0.41399999999999998</v>
      </c>
      <c r="L39" s="8" t="s">
        <v>34</v>
      </c>
      <c r="M39" s="9">
        <v>0.29199999999999998</v>
      </c>
      <c r="N39" s="9">
        <v>-0.122</v>
      </c>
      <c r="O39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Heavy Loss</v>
      </c>
      <c r="P39" s="8" t="s">
        <v>38</v>
      </c>
      <c r="Q39" s="8" t="s">
        <v>62</v>
      </c>
      <c r="R39" s="10">
        <v>0.29599999999999999</v>
      </c>
      <c r="S39" s="10">
        <v>0.38900000000000001</v>
      </c>
      <c r="T39" s="10">
        <v>-9.2999999999999999E-2</v>
      </c>
      <c r="U39" s="8" t="s">
        <v>38</v>
      </c>
      <c r="V39" s="10" t="s">
        <v>33</v>
      </c>
      <c r="W39" s="9">
        <v>5.8999999999999997E-2</v>
      </c>
      <c r="X39" s="9">
        <v>0.41599999999999998</v>
      </c>
      <c r="Y39" s="9">
        <v>-0.35699999999999998</v>
      </c>
      <c r="Z39" s="11" t="s">
        <v>38</v>
      </c>
      <c r="AA39" s="9" t="str">
        <f>IF(Table1[[#This Row],[2015_winner]]="NDA","W","L")</f>
        <v>L</v>
      </c>
      <c r="AB39" s="9" t="str">
        <f>IF(Table1[[#This Row],[2020_winner]]="NDA","W","L")</f>
        <v>L</v>
      </c>
      <c r="AC39" s="9" t="s">
        <v>100</v>
      </c>
      <c r="AD39" s="9" t="str">
        <f>Table1[[#This Row],[NDA_result_2015]]  &amp; "-" &amp; Table1[[#This Row],[NDA_result_2020]] &amp; "-" &amp; Table1[[#This Row],[NDA_result_2025]]</f>
        <v>L-L-L</v>
      </c>
      <c r="AE39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40" spans="1:31" x14ac:dyDescent="0.25">
      <c r="A40" s="8">
        <v>39</v>
      </c>
      <c r="B40" s="8" t="s">
        <v>66</v>
      </c>
      <c r="C40" s="8" t="s">
        <v>46</v>
      </c>
      <c r="D40" s="8" t="s">
        <v>32</v>
      </c>
      <c r="E40" s="9">
        <v>0.71900000000000008</v>
      </c>
      <c r="F40" s="9">
        <v>0.60968998628257842</v>
      </c>
      <c r="G40" s="9">
        <v>6.8912400775611879E-2</v>
      </c>
      <c r="H40" s="18">
        <f>(Table1[[#This Row],[Voter_Turnout_2025]]-Table1[[#This Row],[Benchmark_mean_turnout]])/Table1[[#This Row],[Benchmark_SD_turnout]]</f>
        <v>1.586216885308493</v>
      </c>
      <c r="I40" s="18" t="str">
        <f>IF(Table1[[#This Row],[Z-Score_Turnout]]&lt;=-1,"Ultra Low",IF(Table1[[#This Row],[Z-Score_Turnout]]&lt;0,"Low",IF(Table1[[#This Row],[Z-Score_Turnout]]&lt;=1,"High","Ultra High")))</f>
        <v>Ultra High</v>
      </c>
      <c r="J40" s="8" t="s">
        <v>62</v>
      </c>
      <c r="K40" s="11">
        <v>0.38500000000000001</v>
      </c>
      <c r="L40" s="8" t="s">
        <v>34</v>
      </c>
      <c r="M40" s="9">
        <v>0.253</v>
      </c>
      <c r="N40" s="9">
        <v>-0.13200000000000001</v>
      </c>
      <c r="O40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Heavy Loss</v>
      </c>
      <c r="P40" s="8" t="s">
        <v>38</v>
      </c>
      <c r="Q40" s="8" t="s">
        <v>62</v>
      </c>
      <c r="R40" s="10">
        <v>0.28599999999999998</v>
      </c>
      <c r="S40" s="10">
        <v>0.34799999999999998</v>
      </c>
      <c r="T40" s="10">
        <v>-6.2E-2</v>
      </c>
      <c r="U40" s="8" t="s">
        <v>38</v>
      </c>
      <c r="V40" s="10" t="s">
        <v>33</v>
      </c>
      <c r="W40" s="9">
        <v>2.7E-2</v>
      </c>
      <c r="X40" s="9">
        <v>0.58600000000000008</v>
      </c>
      <c r="Y40" s="9">
        <v>-0.55900000000000005</v>
      </c>
      <c r="Z40" s="11" t="s">
        <v>38</v>
      </c>
      <c r="AA40" s="9" t="str">
        <f>IF(Table1[[#This Row],[2015_winner]]="NDA","W","L")</f>
        <v>L</v>
      </c>
      <c r="AB40" s="9" t="str">
        <f>IF(Table1[[#This Row],[2020_winner]]="NDA","W","L")</f>
        <v>L</v>
      </c>
      <c r="AC40" s="9" t="s">
        <v>100</v>
      </c>
      <c r="AD40" s="9" t="str">
        <f>Table1[[#This Row],[NDA_result_2015]]  &amp; "-" &amp; Table1[[#This Row],[NDA_result_2020]] &amp; "-" &amp; Table1[[#This Row],[NDA_result_2025]]</f>
        <v>L-L-L</v>
      </c>
      <c r="AE40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41" spans="1:31" x14ac:dyDescent="0.25">
      <c r="A41" s="8">
        <v>40</v>
      </c>
      <c r="B41" s="8" t="s">
        <v>67</v>
      </c>
      <c r="C41" s="8" t="s">
        <v>51</v>
      </c>
      <c r="D41" s="8" t="s">
        <v>32</v>
      </c>
      <c r="E41" s="9">
        <v>0.77800000000000002</v>
      </c>
      <c r="F41" s="9">
        <v>0.60968998628257842</v>
      </c>
      <c r="G41" s="9">
        <v>6.8912400775611879E-2</v>
      </c>
      <c r="H41" s="18">
        <f>(Table1[[#This Row],[Voter_Turnout_2025]]-Table1[[#This Row],[Benchmark_mean_turnout]])/Table1[[#This Row],[Benchmark_SD_turnout]]</f>
        <v>2.4423762896530312</v>
      </c>
      <c r="I41" s="18" t="str">
        <f>IF(Table1[[#This Row],[Z-Score_Turnout]]&lt;=-1,"Ultra Low",IF(Table1[[#This Row],[Z-Score_Turnout]]&lt;0,"Low",IF(Table1[[#This Row],[Z-Score_Turnout]]&lt;=1,"High","Ultra High")))</f>
        <v>Ultra High</v>
      </c>
      <c r="J41" s="8" t="s">
        <v>62</v>
      </c>
      <c r="K41" s="11">
        <v>0.42299999999999999</v>
      </c>
      <c r="L41" s="8" t="s">
        <v>34</v>
      </c>
      <c r="M41" s="9">
        <v>0.23199999999999998</v>
      </c>
      <c r="N41" s="9">
        <v>-0.191</v>
      </c>
      <c r="O41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Landslide Loss</v>
      </c>
      <c r="P41" s="8" t="s">
        <v>38</v>
      </c>
      <c r="Q41" s="8" t="s">
        <v>62</v>
      </c>
      <c r="R41" s="10">
        <v>0.27600000000000002</v>
      </c>
      <c r="S41" s="10">
        <v>0.504</v>
      </c>
      <c r="T41" s="10">
        <v>-0.22800000000000001</v>
      </c>
      <c r="U41" s="8" t="s">
        <v>38</v>
      </c>
      <c r="V41" s="10" t="s">
        <v>33</v>
      </c>
      <c r="W41" s="9">
        <v>0.246</v>
      </c>
      <c r="X41" s="9">
        <v>0.39400000000000002</v>
      </c>
      <c r="Y41" s="9">
        <v>-0.14799999999999999</v>
      </c>
      <c r="Z41" s="11" t="s">
        <v>38</v>
      </c>
      <c r="AA41" s="9" t="str">
        <f>IF(Table1[[#This Row],[2015_winner]]="NDA","W","L")</f>
        <v>L</v>
      </c>
      <c r="AB41" s="9" t="str">
        <f>IF(Table1[[#This Row],[2020_winner]]="NDA","W","L")</f>
        <v>L</v>
      </c>
      <c r="AC41" s="9" t="s">
        <v>100</v>
      </c>
      <c r="AD41" s="9" t="str">
        <f>Table1[[#This Row],[NDA_result_2015]]  &amp; "-" &amp; Table1[[#This Row],[NDA_result_2020]] &amp; "-" &amp; Table1[[#This Row],[NDA_result_2025]]</f>
        <v>L-L-L</v>
      </c>
      <c r="AE41" s="9" t="str">
        <f>IF(Table1[[#This Row],[Electoral_Sequence]]="W-W-L","Core Collapse",IF(Table1[[#This Row],[Electoral_Sequence]]="L-W-L","Swing Seat",IF(Table1[[#This Row],[Electoral_Sequence]]="W-L-L","Early Decline","Chronic Weak")))</f>
        <v>Chronic Weak</v>
      </c>
    </row>
    <row r="42" spans="1:31" x14ac:dyDescent="0.25">
      <c r="A42" s="8">
        <v>41</v>
      </c>
      <c r="B42" s="8" t="s">
        <v>68</v>
      </c>
      <c r="C42" s="8" t="s">
        <v>69</v>
      </c>
      <c r="D42" s="8" t="s">
        <v>32</v>
      </c>
      <c r="E42" s="9">
        <v>0.68300000000000005</v>
      </c>
      <c r="F42" s="9">
        <v>0.60968998628257842</v>
      </c>
      <c r="G42" s="9">
        <v>6.8912400775611879E-2</v>
      </c>
      <c r="H42" s="18">
        <f>(Table1[[#This Row],[Voter_Turnout_2025]]-Table1[[#This Row],[Benchmark_mean_turnout]])/Table1[[#This Row],[Benchmark_SD_turnout]]</f>
        <v>1.0638145368948757</v>
      </c>
      <c r="I42" s="18" t="str">
        <f>IF(Table1[[#This Row],[Z-Score_Turnout]]&lt;=-1,"Ultra Low",IF(Table1[[#This Row],[Z-Score_Turnout]]&lt;0,"Low",IF(Table1[[#This Row],[Z-Score_Turnout]]&lt;=1,"High","Ultra High")))</f>
        <v>Ultra High</v>
      </c>
      <c r="J42" s="8" t="s">
        <v>62</v>
      </c>
      <c r="K42" s="11">
        <v>0.37310000000000004</v>
      </c>
      <c r="L42" s="8" t="s">
        <v>34</v>
      </c>
      <c r="M42" s="9">
        <v>0.373</v>
      </c>
      <c r="N42" s="9">
        <v>-1E-4</v>
      </c>
      <c r="O42" s="9" t="str">
        <f>IF(Table1[[#This Row],[NDA_Margin_2025]]&lt;-15%,"Landslide Loss",IF(Table1[[#This Row],[NDA_Margin_2025]]&lt;-10%,"Heavy Loss",IF(Table1[[#This Row],[NDA_Margin_2025]]&lt;-4%,"Moderate Loss",IF(Table1[[#This Row],[NDA_Margin_2025]]&lt;-1.5%,"Close Loss","Narrow Loss"))))</f>
        <v>Narrow Loss</v>
      </c>
      <c r="P42" s="8" t="s">
        <v>38</v>
      </c>
      <c r="Q42" s="8" t="s">
        <v>33</v>
      </c>
      <c r="R42" s="10">
        <v>0.316</v>
      </c>
      <c r="S42" s="13">
        <v>0.32799999999999996</v>
      </c>
      <c r="T42" s="13">
        <v>-1.1999999999999955E-2</v>
      </c>
      <c r="U42" s="8" t="s">
        <v>38</v>
      </c>
      <c r="V42" s="10" t="s">
        <v>71</v>
      </c>
      <c r="W42" s="9">
        <v>0.372</v>
      </c>
      <c r="X42" s="9">
        <v>0.32</v>
      </c>
      <c r="Y42" s="9">
        <v>5.1999999999999998E-2</v>
      </c>
      <c r="Z42" s="11" t="s">
        <v>38</v>
      </c>
      <c r="AA42" s="9" t="str">
        <f>IF(Table1[[#This Row],[2015_winner]]="NDA","W","L")</f>
        <v>W</v>
      </c>
      <c r="AB42" s="9" t="str">
        <f>IF(Table1[[#This Row],[2020_winner]]="NDA","W","L")</f>
        <v>L</v>
      </c>
      <c r="AC42" s="9" t="s">
        <v>100</v>
      </c>
      <c r="AD42" s="9" t="str">
        <f>Table1[[#This Row],[NDA_result_2015]]  &amp; "-" &amp; Table1[[#This Row],[NDA_result_2020]] &amp; "-" &amp; Table1[[#This Row],[NDA_result_2025]]</f>
        <v>W-L-L</v>
      </c>
      <c r="AE42" s="9" t="str">
        <f>IF(Table1[[#This Row],[Electoral_Sequence]]="W-W-L","Core Collapse",IF(Table1[[#This Row],[Electoral_Sequence]]="L-W-L","Swing Seat",IF(Table1[[#This Row],[Electoral_Sequence]]="W-L-L","Early Decline","Chronic Weak")))</f>
        <v>Early Decline</v>
      </c>
    </row>
    <row r="43" spans="1:31" x14ac:dyDescent="0.25">
      <c r="N43" s="1"/>
      <c r="O43" s="1"/>
    </row>
  </sheetData>
  <dataValidations count="5">
    <dataValidation type="list" allowBlank="1" showInputMessage="1" showErrorMessage="1" sqref="Q2:Q42">
      <formula1>"NDA,MGB,Others"</formula1>
    </dataValidation>
    <dataValidation type="list" allowBlank="1" showInputMessage="1" showErrorMessage="1" sqref="U2:U42 Z2:Z42 P2:P42 P43">
      <formula1>"YES,NO"</formula1>
    </dataValidation>
    <dataValidation type="list" allowBlank="1" showInputMessage="1" showErrorMessage="1" sqref="V2:V42">
      <formula1>"MGB,NDA,Others"</formula1>
    </dataValidation>
    <dataValidation type="list" allowBlank="1" showInputMessage="1" showErrorMessage="1" sqref="J2:J43">
      <formula1>"MGB,Others"</formula1>
    </dataValidation>
    <dataValidation type="list" allowBlank="1" showInputMessage="1" showErrorMessage="1" sqref="L2:L43">
      <formula1>"runner_up,below_2nd"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R25"/>
  <sheetViews>
    <sheetView workbookViewId="0">
      <pane xSplit="1" topLeftCell="P1" activePane="topRight" state="frozen"/>
      <selection pane="topRight" activeCell="M1" sqref="M1"/>
    </sheetView>
  </sheetViews>
  <sheetFormatPr defaultRowHeight="15" x14ac:dyDescent="0.25"/>
  <cols>
    <col min="1" max="1" width="16.140625" bestFit="1" customWidth="1"/>
    <col min="2" max="2" width="21.28515625" customWidth="1"/>
    <col min="3" max="3" width="19.42578125" customWidth="1"/>
    <col min="4" max="4" width="14.5703125" customWidth="1"/>
    <col min="5" max="5" width="20.140625" customWidth="1"/>
    <col min="6" max="6" width="23.5703125" bestFit="1" customWidth="1"/>
    <col min="7" max="7" width="17" style="20" customWidth="1"/>
    <col min="8" max="8" width="19.85546875" style="20" customWidth="1"/>
    <col min="9" max="9" width="27.28515625" style="20" bestFit="1" customWidth="1"/>
    <col min="10" max="10" width="12.28515625" bestFit="1" customWidth="1"/>
    <col min="11" max="11" width="13.28515625" bestFit="1" customWidth="1"/>
    <col min="12" max="12" width="17.7109375" bestFit="1" customWidth="1"/>
    <col min="13" max="13" width="25.28515625" bestFit="1" customWidth="1"/>
    <col min="14" max="14" width="25.28515625" style="20" customWidth="1"/>
    <col min="15" max="15" width="27" bestFit="1" customWidth="1"/>
    <col min="16" max="16" width="27" style="20" customWidth="1"/>
    <col min="17" max="17" width="29.42578125" bestFit="1" customWidth="1"/>
    <col min="18" max="18" width="26.42578125" bestFit="1" customWidth="1"/>
    <col min="19" max="19" width="28" bestFit="1" customWidth="1"/>
  </cols>
  <sheetData>
    <row r="1" spans="1:18" x14ac:dyDescent="0.25">
      <c r="A1" s="21" t="s">
        <v>2</v>
      </c>
      <c r="B1" s="4" t="s">
        <v>114</v>
      </c>
      <c r="C1" s="4" t="s">
        <v>122</v>
      </c>
      <c r="D1" s="4" t="s">
        <v>125</v>
      </c>
      <c r="E1" s="4" t="s">
        <v>127</v>
      </c>
      <c r="F1" s="4" t="s">
        <v>126</v>
      </c>
      <c r="G1" s="22" t="s">
        <v>128</v>
      </c>
      <c r="H1" s="22" t="s">
        <v>129</v>
      </c>
      <c r="I1" s="4" t="s">
        <v>135</v>
      </c>
      <c r="J1" s="22" t="s">
        <v>130</v>
      </c>
      <c r="K1" s="22" t="s">
        <v>131</v>
      </c>
      <c r="L1" s="4" t="s">
        <v>139</v>
      </c>
      <c r="M1" s="4" t="s">
        <v>138</v>
      </c>
      <c r="N1" s="4" t="s">
        <v>133</v>
      </c>
      <c r="O1" s="22" t="s">
        <v>132</v>
      </c>
      <c r="P1" s="4" t="s">
        <v>134</v>
      </c>
      <c r="Q1" s="4" t="s">
        <v>136</v>
      </c>
      <c r="R1" s="4" t="s">
        <v>137</v>
      </c>
    </row>
    <row r="2" spans="1:18" x14ac:dyDescent="0.25">
      <c r="A2" s="20" t="s">
        <v>46</v>
      </c>
      <c r="B2" t="s">
        <v>121</v>
      </c>
      <c r="C2" t="s">
        <v>123</v>
      </c>
      <c r="D2" s="1">
        <v>9.0999999999999998E-2</v>
      </c>
      <c r="E2" s="1">
        <v>0.153</v>
      </c>
      <c r="F2" t="str">
        <f t="shared" ref="F2:F25" si="0">IF(D2&gt;E2+7.41%,"High Urbanisation",IF(D2&gt;E2,"Moderate Urbanisation",IF(D2&gt;E2-7.41%,"low Urbanisation","Ultra low Urbanisation")))</f>
        <v>low Urbanisation</v>
      </c>
      <c r="G2" s="1">
        <v>0.53500000000000003</v>
      </c>
      <c r="H2" s="1">
        <v>0.439</v>
      </c>
      <c r="I2" s="1" t="str">
        <f>IF(Table4[[#This Row],[Female_literacy]]&gt;=57%,"High",IF(Table4[[#This Row],[Female_literacy]]&gt;=50%,"Moderate",IF(Table4[[#This Row],[Female_literacy]]&gt;= 44%,"Low","Very Low")))</f>
        <v>Very Low</v>
      </c>
      <c r="J2">
        <v>993</v>
      </c>
      <c r="K2">
        <v>921</v>
      </c>
      <c r="L2" s="1">
        <v>0.38052999999999998</v>
      </c>
      <c r="M2" s="1">
        <v>0.26812999999999998</v>
      </c>
      <c r="N2" s="1" t="str">
        <f>IF(Table4[[#This Row],[FWPR]]&gt;= 24%,"HIGH",IF(Table4[[#This Row],[FWPR]]&gt;= 19.5%,"MODERATE",IF(Table4[[#This Row],[FWPR]]&gt;=14%, "LOW","VERY LOW")))</f>
        <v>HIGH</v>
      </c>
      <c r="O2" s="1">
        <v>0.14584</v>
      </c>
      <c r="P2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Very Low Educated</v>
      </c>
      <c r="Q2" s="23">
        <v>489</v>
      </c>
      <c r="R2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3" spans="1:18" x14ac:dyDescent="0.25">
      <c r="A3" s="20" t="s">
        <v>80</v>
      </c>
      <c r="B3" t="s">
        <v>116</v>
      </c>
      <c r="C3" t="s">
        <v>124</v>
      </c>
      <c r="D3" s="1">
        <v>9.8000000000000004E-2</v>
      </c>
      <c r="E3" s="1">
        <v>0.153</v>
      </c>
      <c r="F3" s="20" t="str">
        <f t="shared" si="0"/>
        <v>low Urbanisation</v>
      </c>
      <c r="G3" s="1">
        <v>0.70299999999999996</v>
      </c>
      <c r="H3" s="1">
        <v>0.59699999999999998</v>
      </c>
      <c r="I3" s="1" t="str">
        <f>IF(Table4[[#This Row],[Female_literacy]]&gt;=57%,"High",IF(Table4[[#This Row],[Female_literacy]]&gt;=50%,"Moderate",IF(Table4[[#This Row],[Female_literacy]]&gt;= 44%,"Low","Very Low")))</f>
        <v>High</v>
      </c>
      <c r="J3">
        <v>769</v>
      </c>
      <c r="K3">
        <v>926</v>
      </c>
      <c r="L3" s="1">
        <v>0.32982</v>
      </c>
      <c r="M3" s="1">
        <v>0.19536000000000001</v>
      </c>
      <c r="N3" s="1" t="str">
        <f>IF(Table4[[#This Row],[FWPR]]&gt;= 24%,"HIGH",IF(Table4[[#This Row],[FWPR]]&gt;= 19.5%,"MODERATE",IF(Table4[[#This Row],[FWPR]]&gt;=14%, "LOW","VERY LOW")))</f>
        <v>MODERATE</v>
      </c>
      <c r="O3" s="1">
        <v>0.38138</v>
      </c>
      <c r="P3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3" s="23">
        <v>1131</v>
      </c>
      <c r="R3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4" spans="1:18" x14ac:dyDescent="0.25">
      <c r="A4" s="20" t="s">
        <v>41</v>
      </c>
      <c r="B4" t="s">
        <v>115</v>
      </c>
      <c r="C4" t="s">
        <v>123</v>
      </c>
      <c r="D4" s="1">
        <v>0.193</v>
      </c>
      <c r="E4" s="1">
        <v>0.153</v>
      </c>
      <c r="F4" s="20" t="str">
        <f t="shared" si="0"/>
        <v>Moderate Urbanisation</v>
      </c>
      <c r="G4" s="1">
        <v>0.63929999999999998</v>
      </c>
      <c r="H4" s="1">
        <v>0.55230000000000001</v>
      </c>
      <c r="I4" s="1" t="str">
        <f>IF(Table4[[#This Row],[Female_literacy]]&gt;=57%,"High",IF(Table4[[#This Row],[Female_literacy]]&gt;=50%,"Moderate",IF(Table4[[#This Row],[Female_literacy]]&gt;= 44%,"Low","Very Low")))</f>
        <v>Moderate</v>
      </c>
      <c r="J4">
        <v>1549</v>
      </c>
      <c r="K4">
        <v>895</v>
      </c>
      <c r="L4" s="1">
        <v>0.31583</v>
      </c>
      <c r="M4" s="1">
        <v>0.15884000000000001</v>
      </c>
      <c r="N4" s="1" t="str">
        <f>IF(Table4[[#This Row],[FWPR]]&gt;= 24%,"HIGH",IF(Table4[[#This Row],[FWPR]]&gt;= 19.5%,"MODERATE",IF(Table4[[#This Row],[FWPR]]&gt;=14%, "LOW","VERY LOW")))</f>
        <v>LOW</v>
      </c>
      <c r="O4" s="1">
        <v>0.28145999999999999</v>
      </c>
      <c r="P4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4" s="23">
        <v>881</v>
      </c>
      <c r="R4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5" spans="1:18" x14ac:dyDescent="0.25">
      <c r="A5" s="20" t="s">
        <v>77</v>
      </c>
      <c r="B5" t="s">
        <v>117</v>
      </c>
      <c r="C5" t="s">
        <v>124</v>
      </c>
      <c r="D5" s="1">
        <v>0.16800000000000001</v>
      </c>
      <c r="E5" s="1">
        <v>0.153</v>
      </c>
      <c r="F5" s="20" t="str">
        <f t="shared" si="0"/>
        <v>Moderate Urbanisation</v>
      </c>
      <c r="G5" s="1">
        <v>0.70179999999999998</v>
      </c>
      <c r="H5" s="1">
        <v>0.58679999999999999</v>
      </c>
      <c r="I5" s="1" t="str">
        <f>IF(Table4[[#This Row],[Female_literacy]]&gt;=57%,"High",IF(Table4[[#This Row],[Female_literacy]]&gt;=50%,"Moderate",IF(Table4[[#This Row],[Female_literacy]]&gt;= 44%,"Low","Very Low")))</f>
        <v>High</v>
      </c>
      <c r="J5">
        <v>1002</v>
      </c>
      <c r="K5">
        <v>922</v>
      </c>
      <c r="L5" s="1">
        <v>0.31547999999999998</v>
      </c>
      <c r="M5" s="1">
        <v>0.16636000000000001</v>
      </c>
      <c r="N5" s="1" t="str">
        <f>IF(Table4[[#This Row],[FWPR]]&gt;= 24%,"HIGH",IF(Table4[[#This Row],[FWPR]]&gt;= 19.5%,"MODERATE",IF(Table4[[#This Row],[FWPR]]&gt;=14%, "LOW","VERY LOW")))</f>
        <v>LOW</v>
      </c>
      <c r="O5" s="1">
        <v>0.38007000000000002</v>
      </c>
      <c r="P5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5" s="23">
        <v>777</v>
      </c>
      <c r="R5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6" spans="1:18" x14ac:dyDescent="0.25">
      <c r="A6" s="20" t="s">
        <v>79</v>
      </c>
      <c r="B6" t="s">
        <v>119</v>
      </c>
      <c r="C6" t="s">
        <v>123</v>
      </c>
      <c r="D6" s="1">
        <v>9.8000000000000004E-2</v>
      </c>
      <c r="E6" s="1">
        <v>0.153</v>
      </c>
      <c r="F6" s="20" t="str">
        <f t="shared" si="0"/>
        <v>low Urbanisation</v>
      </c>
      <c r="G6" s="1">
        <v>0.55800000000000005</v>
      </c>
      <c r="H6" s="1">
        <v>0.45100000000000001</v>
      </c>
      <c r="I6" s="1" t="str">
        <f>IF(Table4[[#This Row],[Female_literacy]]&gt;=57%,"High",IF(Table4[[#This Row],[Female_literacy]]&gt;=50%,"Moderate",IF(Table4[[#This Row],[Female_literacy]]&gt;= 44%,"Low","Very Low")))</f>
        <v>Low</v>
      </c>
      <c r="J6">
        <v>1285</v>
      </c>
      <c r="K6">
        <v>902</v>
      </c>
      <c r="L6" s="1">
        <v>0.34073999999999999</v>
      </c>
      <c r="M6" s="1">
        <v>0.19716</v>
      </c>
      <c r="N6" s="1" t="str">
        <f>IF(Table4[[#This Row],[FWPR]]&gt;= 24%,"HIGH",IF(Table4[[#This Row],[FWPR]]&gt;= 19.5%,"MODERATE",IF(Table4[[#This Row],[FWPR]]&gt;=14%, "LOW","VERY LOW")))</f>
        <v>MODERATE</v>
      </c>
      <c r="O6" s="1">
        <v>0.19084000000000001</v>
      </c>
      <c r="P6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Very Low Educated</v>
      </c>
      <c r="Q6" s="23">
        <v>1259</v>
      </c>
      <c r="R6" s="1" t="str">
        <f>IF(Table4[[#This Row],[Energy Consumption (MU)]]&gt;=1250,"High",IF(Table4[[#This Row],[Energy Consumption (MU)]]&gt;=825,"Moderate",IF(Table4[[#This Row],[Energy Consumption (MU)]]&gt;=400,"Low","Very Low")))</f>
        <v>High</v>
      </c>
    </row>
    <row r="7" spans="1:18" x14ac:dyDescent="0.25">
      <c r="A7" s="20" t="s">
        <v>76</v>
      </c>
      <c r="B7" t="s">
        <v>116</v>
      </c>
      <c r="C7" t="s">
        <v>124</v>
      </c>
      <c r="D7" s="1">
        <v>0.16500000000000001</v>
      </c>
      <c r="E7" s="1">
        <v>0.153</v>
      </c>
      <c r="F7" s="20" t="str">
        <f t="shared" si="0"/>
        <v>Moderate Urbanisation</v>
      </c>
      <c r="G7" s="1">
        <v>0.63749999999999996</v>
      </c>
      <c r="H7" s="1">
        <v>0.53349999999999997</v>
      </c>
      <c r="I7" s="1" t="str">
        <f>IF(Table4[[#This Row],[Female_literacy]]&gt;=57%,"High",IF(Table4[[#This Row],[Female_literacy]]&gt;=50%,"Moderate",IF(Table4[[#This Row],[Female_literacy]]&gt;= 44%,"Low","Very Low")))</f>
        <v>Moderate</v>
      </c>
      <c r="J7">
        <v>883</v>
      </c>
      <c r="K7">
        <v>937</v>
      </c>
      <c r="L7" s="1">
        <v>0.37894</v>
      </c>
      <c r="M7" s="1">
        <v>0.27667000000000003</v>
      </c>
      <c r="N7" s="1" t="str">
        <f>IF(Table4[[#This Row],[FWPR]]&gt;= 24%,"HIGH",IF(Table4[[#This Row],[FWPR]]&gt;= 19.5%,"MODERATE",IF(Table4[[#This Row],[FWPR]]&gt;=14%, "LOW","VERY LOW")))</f>
        <v>HIGH</v>
      </c>
      <c r="O7" s="1">
        <v>0.30969000000000002</v>
      </c>
      <c r="P7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7" s="23">
        <v>2250</v>
      </c>
      <c r="R7" s="1" t="str">
        <f>IF(Table4[[#This Row],[Energy Consumption (MU)]]&gt;=1250,"High",IF(Table4[[#This Row],[Energy Consumption (MU)]]&gt;=825,"Moderate",IF(Table4[[#This Row],[Energy Consumption (MU)]]&gt;=400,"Low","Very Low")))</f>
        <v>High</v>
      </c>
    </row>
    <row r="8" spans="1:18" x14ac:dyDescent="0.25">
      <c r="A8" s="20" t="s">
        <v>78</v>
      </c>
      <c r="B8" t="s">
        <v>118</v>
      </c>
      <c r="C8" t="s">
        <v>124</v>
      </c>
      <c r="D8" s="1">
        <v>8.3000000000000004E-2</v>
      </c>
      <c r="E8" s="1">
        <v>0.153</v>
      </c>
      <c r="F8" s="20" t="str">
        <f t="shared" si="0"/>
        <v>low Urbanisation</v>
      </c>
      <c r="G8" s="1">
        <v>0.59799999999999998</v>
      </c>
      <c r="H8" s="1">
        <v>0.47299999999999998</v>
      </c>
      <c r="I8" s="1" t="str">
        <f>IF(Table4[[#This Row],[Female_literacy]]&gt;=57%,"High",IF(Table4[[#This Row],[Female_literacy]]&gt;=50%,"Moderate",IF(Table4[[#This Row],[Female_literacy]]&gt;= 44%,"Low","Very Low")))</f>
        <v>Low</v>
      </c>
      <c r="J8">
        <v>568</v>
      </c>
      <c r="K8">
        <v>922</v>
      </c>
      <c r="L8" s="1">
        <v>0.4133</v>
      </c>
      <c r="M8" s="1">
        <v>0.32602999999999999</v>
      </c>
      <c r="N8" s="1" t="str">
        <f>IF(Table4[[#This Row],[FWPR]]&gt;= 24%,"HIGH",IF(Table4[[#This Row],[FWPR]]&gt;= 19.5%,"MODERATE",IF(Table4[[#This Row],[FWPR]]&gt;=14%, "LOW","VERY LOW")))</f>
        <v>HIGH</v>
      </c>
      <c r="O8" s="1">
        <v>0.22214</v>
      </c>
      <c r="P8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8" s="23">
        <v>532</v>
      </c>
      <c r="R8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9" spans="1:18" x14ac:dyDescent="0.25">
      <c r="A9" s="20" t="s">
        <v>13</v>
      </c>
      <c r="B9" t="s">
        <v>116</v>
      </c>
      <c r="C9" t="s">
        <v>124</v>
      </c>
      <c r="D9" s="1">
        <v>0.16899999999999998</v>
      </c>
      <c r="E9" s="1">
        <v>0.153</v>
      </c>
      <c r="F9" s="20" t="str">
        <f t="shared" si="0"/>
        <v>Moderate Urbanisation</v>
      </c>
      <c r="G9" s="1">
        <v>0.66890000000000005</v>
      </c>
      <c r="H9" s="1">
        <v>0.55900000000000005</v>
      </c>
      <c r="I9" s="1" t="str">
        <f>IF(Table4[[#This Row],[Female_literacy]]&gt;=57%,"High",IF(Table4[[#This Row],[Female_literacy]]&gt;=50%,"Moderate",IF(Table4[[#This Row],[Female_literacy]]&gt;= 44%,"Low","Very Low")))</f>
        <v>Moderate</v>
      </c>
      <c r="J9">
        <v>1209</v>
      </c>
      <c r="K9">
        <v>922</v>
      </c>
      <c r="L9" s="1">
        <v>0.32468999999999998</v>
      </c>
      <c r="M9" s="1">
        <v>0.18334</v>
      </c>
      <c r="N9" s="1" t="str">
        <f>IF(Table4[[#This Row],[FWPR]]&gt;= 24%,"HIGH",IF(Table4[[#This Row],[FWPR]]&gt;= 19.5%,"MODERATE",IF(Table4[[#This Row],[FWPR]]&gt;=14%, "LOW","VERY LOW")))</f>
        <v>LOW</v>
      </c>
      <c r="O9" s="1">
        <v>0.40693000000000001</v>
      </c>
      <c r="P9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High Educated</v>
      </c>
      <c r="Q9" s="23">
        <v>533</v>
      </c>
      <c r="R9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10" spans="1:18" x14ac:dyDescent="0.25">
      <c r="A10" s="20" t="s">
        <v>69</v>
      </c>
      <c r="B10" t="s">
        <v>117</v>
      </c>
      <c r="C10" t="s">
        <v>124</v>
      </c>
      <c r="D10" s="1">
        <v>8.4000000000000005E-2</v>
      </c>
      <c r="E10" s="1">
        <v>0.153</v>
      </c>
      <c r="F10" s="20" t="str">
        <f t="shared" si="0"/>
        <v>low Urbanisation</v>
      </c>
      <c r="G10" s="1">
        <v>0.69299999999999995</v>
      </c>
      <c r="H10" s="1">
        <v>0.58399999999999996</v>
      </c>
      <c r="I10" s="1" t="str">
        <f>IF(Table4[[#This Row],[Female_literacy]]&gt;=57%,"High",IF(Table4[[#This Row],[Female_literacy]]&gt;=50%,"Moderate",IF(Table4[[#This Row],[Female_literacy]]&gt;= 44%,"Low","Very Low")))</f>
        <v>High</v>
      </c>
      <c r="J10">
        <v>488</v>
      </c>
      <c r="K10">
        <v>920</v>
      </c>
      <c r="L10" s="1">
        <v>0.31429000000000001</v>
      </c>
      <c r="M10" s="1">
        <v>0.17348</v>
      </c>
      <c r="N10" s="1" t="str">
        <f>IF(Table4[[#This Row],[FWPR]]&gt;= 24%,"HIGH",IF(Table4[[#This Row],[FWPR]]&gt;= 19.5%,"MODERATE",IF(Table4[[#This Row],[FWPR]]&gt;=14%, "LOW","VERY LOW")))</f>
        <v>LOW</v>
      </c>
      <c r="O10" s="1">
        <v>0.30721999999999999</v>
      </c>
      <c r="P10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10" s="23">
        <v>847</v>
      </c>
      <c r="R10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11" spans="1:18" x14ac:dyDescent="0.25">
      <c r="A11" s="20" t="s">
        <v>53</v>
      </c>
      <c r="B11" t="s">
        <v>121</v>
      </c>
      <c r="C11" t="s">
        <v>123</v>
      </c>
      <c r="D11" s="1">
        <v>0.12300000000000001</v>
      </c>
      <c r="E11" s="1">
        <v>0.153</v>
      </c>
      <c r="F11" s="20" t="str">
        <f t="shared" si="0"/>
        <v>low Urbanisation</v>
      </c>
      <c r="G11" s="1">
        <v>0.52229999999999999</v>
      </c>
      <c r="H11" s="1">
        <v>0.44429999999999997</v>
      </c>
      <c r="I11" s="1" t="str">
        <f>IF(Table4[[#This Row],[Female_literacy]]&gt;=57%,"High",IF(Table4[[#This Row],[Female_literacy]]&gt;=50%,"Moderate",IF(Table4[[#This Row],[Female_literacy]]&gt;= 44%,"Low","Very Low")))</f>
        <v>Low</v>
      </c>
      <c r="J11">
        <v>1005</v>
      </c>
      <c r="K11">
        <v>919</v>
      </c>
      <c r="L11" s="1">
        <v>0.33004</v>
      </c>
      <c r="M11" s="1">
        <v>0.17207</v>
      </c>
      <c r="N11" s="1" t="str">
        <f>IF(Table4[[#This Row],[FWPR]]&gt;= 24%,"HIGH",IF(Table4[[#This Row],[FWPR]]&gt;= 19.5%,"MODERATE",IF(Table4[[#This Row],[FWPR]]&gt;=14%, "LOW","VERY LOW")))</f>
        <v>LOW</v>
      </c>
      <c r="O11" s="1">
        <v>0.1633</v>
      </c>
      <c r="P11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Very Low Educated</v>
      </c>
      <c r="Q11" s="23">
        <v>667</v>
      </c>
      <c r="R11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12" spans="1:18" x14ac:dyDescent="0.25">
      <c r="A12" s="20" t="s">
        <v>51</v>
      </c>
      <c r="B12" t="s">
        <v>121</v>
      </c>
      <c r="C12" t="s">
        <v>123</v>
      </c>
      <c r="D12" s="1">
        <v>0.10300000000000001</v>
      </c>
      <c r="E12" s="1">
        <v>0.153</v>
      </c>
      <c r="F12" s="20" t="str">
        <f t="shared" si="0"/>
        <v>low Urbanisation</v>
      </c>
      <c r="G12" s="1">
        <v>0.55530000000000002</v>
      </c>
      <c r="H12" s="1">
        <v>0.46829999999999999</v>
      </c>
      <c r="I12" s="1" t="str">
        <f>IF(Table4[[#This Row],[Female_literacy]]&gt;=57%,"High",IF(Table4[[#This Row],[Female_literacy]]&gt;=50%,"Moderate",IF(Table4[[#This Row],[Female_literacy]]&gt;= 44%,"Low","Very Low")))</f>
        <v>Low</v>
      </c>
      <c r="J12">
        <v>897</v>
      </c>
      <c r="K12">
        <v>950</v>
      </c>
      <c r="L12" s="1">
        <v>0.31297999999999998</v>
      </c>
      <c r="M12" s="1">
        <v>0.13100000000000001</v>
      </c>
      <c r="N12" s="1" t="str">
        <f>IF(Table4[[#This Row],[FWPR]]&gt;= 24%,"HIGH",IF(Table4[[#This Row],[FWPR]]&gt;= 19.5%,"MODERATE",IF(Table4[[#This Row],[FWPR]]&gt;=14%, "LOW","VERY LOW")))</f>
        <v>VERY LOW</v>
      </c>
      <c r="O12" s="1">
        <v>0.1147</v>
      </c>
      <c r="P12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Very Low Educated</v>
      </c>
      <c r="Q12" s="23">
        <v>354</v>
      </c>
      <c r="R12" s="1" t="str">
        <f>IF(Table4[[#This Row],[Energy Consumption (MU)]]&gt;=1250,"High",IF(Table4[[#This Row],[Energy Consumption (MU)]]&gt;=825,"Moderate",IF(Table4[[#This Row],[Energy Consumption (MU)]]&gt;=400,"Low","Very Low")))</f>
        <v>Very Low</v>
      </c>
    </row>
    <row r="13" spans="1:18" x14ac:dyDescent="0.25">
      <c r="A13" s="20" t="s">
        <v>14</v>
      </c>
      <c r="B13" t="s">
        <v>115</v>
      </c>
      <c r="C13" t="s">
        <v>123</v>
      </c>
      <c r="D13" s="1">
        <v>0.10099999999999999</v>
      </c>
      <c r="E13" s="1">
        <v>0.153</v>
      </c>
      <c r="F13" s="20" t="str">
        <f t="shared" si="0"/>
        <v>low Urbanisation</v>
      </c>
      <c r="G13" s="1">
        <v>0.52310000000000001</v>
      </c>
      <c r="H13" s="1">
        <v>0.41710000000000003</v>
      </c>
      <c r="I13" s="1" t="str">
        <f>IF(Table4[[#This Row],[Female_literacy]]&gt;=57%,"High",IF(Table4[[#This Row],[Female_literacy]]&gt;=50%,"Moderate",IF(Table4[[#This Row],[Female_literacy]]&gt;= 44%,"Low","Very Low")))</f>
        <v>Very Low</v>
      </c>
      <c r="J13">
        <v>1120</v>
      </c>
      <c r="K13">
        <v>911</v>
      </c>
      <c r="L13" s="1">
        <v>0.38843</v>
      </c>
      <c r="M13" s="1">
        <v>0.29500999999999999</v>
      </c>
      <c r="N13" s="1" t="str">
        <f>IF(Table4[[#This Row],[FWPR]]&gt;= 24%,"HIGH",IF(Table4[[#This Row],[FWPR]]&gt;= 19.5%,"MODERATE",IF(Table4[[#This Row],[FWPR]]&gt;=14%, "LOW","VERY LOW")))</f>
        <v>HIGH</v>
      </c>
      <c r="O13" s="1">
        <v>0.20688000000000001</v>
      </c>
      <c r="P13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13" s="23">
        <v>391</v>
      </c>
      <c r="R13" s="1" t="str">
        <f>IF(Table4[[#This Row],[Energy Consumption (MU)]]&gt;=1250,"High",IF(Table4[[#This Row],[Energy Consumption (MU)]]&gt;=825,"Moderate",IF(Table4[[#This Row],[Energy Consumption (MU)]]&gt;=400,"Low","Very Low")))</f>
        <v>Very Low</v>
      </c>
    </row>
    <row r="14" spans="1:18" x14ac:dyDescent="0.25">
      <c r="A14" s="20" t="s">
        <v>75</v>
      </c>
      <c r="B14" t="s">
        <v>115</v>
      </c>
      <c r="C14" t="s">
        <v>123</v>
      </c>
      <c r="D14" s="1">
        <v>3.5999999999999997E-2</v>
      </c>
      <c r="E14" s="1">
        <v>0.153</v>
      </c>
      <c r="F14" s="20" t="str">
        <f t="shared" si="0"/>
        <v>Ultra low Urbanisation</v>
      </c>
      <c r="G14" s="1">
        <v>0.58599999999999997</v>
      </c>
      <c r="H14" s="1">
        <v>0.46200000000000002</v>
      </c>
      <c r="I14" s="1" t="str">
        <f>IF(Table4[[#This Row],[Female_literacy]]&gt;=57%,"High",IF(Table4[[#This Row],[Female_literacy]]&gt;=50%,"Moderate",IF(Table4[[#This Row],[Female_literacy]]&gt;= 44%,"Low","Very Low")))</f>
        <v>Low</v>
      </c>
      <c r="J14">
        <v>1282</v>
      </c>
      <c r="K14">
        <v>926</v>
      </c>
      <c r="L14" s="1">
        <v>0.36479</v>
      </c>
      <c r="M14" s="1">
        <v>0.24604999999999999</v>
      </c>
      <c r="N14" s="1" t="str">
        <f>IF(Table4[[#This Row],[FWPR]]&gt;= 24%,"HIGH",IF(Table4[[#This Row],[FWPR]]&gt;= 19.5%,"MODERATE",IF(Table4[[#This Row],[FWPR]]&gt;=14%, "LOW","VERY LOW")))</f>
        <v>HIGH</v>
      </c>
      <c r="O14" s="1">
        <v>0.24803</v>
      </c>
      <c r="P14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14" s="23">
        <v>869</v>
      </c>
      <c r="R14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15" spans="1:18" x14ac:dyDescent="0.25">
      <c r="A15" s="20" t="s">
        <v>81</v>
      </c>
      <c r="B15" t="s">
        <v>119</v>
      </c>
      <c r="C15" t="s">
        <v>123</v>
      </c>
      <c r="D15" s="1">
        <v>0.127</v>
      </c>
      <c r="E15" s="1">
        <v>0.153</v>
      </c>
      <c r="F15" s="20" t="str">
        <f t="shared" si="0"/>
        <v>low Urbanisation</v>
      </c>
      <c r="G15" s="1">
        <v>0.63470000000000004</v>
      </c>
      <c r="H15" s="1">
        <v>0.54769999999999996</v>
      </c>
      <c r="I15" s="1" t="str">
        <f>IF(Table4[[#This Row],[Female_literacy]]&gt;=57%,"High",IF(Table4[[#This Row],[Female_literacy]]&gt;=50%,"Moderate",IF(Table4[[#This Row],[Female_literacy]]&gt;= 44%,"Low","Very Low")))</f>
        <v>Moderate</v>
      </c>
      <c r="J15">
        <v>1514</v>
      </c>
      <c r="K15">
        <v>900</v>
      </c>
      <c r="L15" s="1">
        <v>0.32234000000000002</v>
      </c>
      <c r="M15" s="1">
        <v>0.15495</v>
      </c>
      <c r="N15" s="1" t="str">
        <f>IF(Table4[[#This Row],[FWPR]]&gt;= 24%,"HIGH",IF(Table4[[#This Row],[FWPR]]&gt;= 19.5%,"MODERATE",IF(Table4[[#This Row],[FWPR]]&gt;=14%, "LOW","VERY LOW")))</f>
        <v>LOW</v>
      </c>
      <c r="O15" s="1">
        <v>0.28720000000000001</v>
      </c>
      <c r="P15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15" s="23">
        <v>1590</v>
      </c>
      <c r="R15" s="1" t="str">
        <f>IF(Table4[[#This Row],[Energy Consumption (MU)]]&gt;=1250,"High",IF(Table4[[#This Row],[Energy Consumption (MU)]]&gt;=825,"Moderate",IF(Table4[[#This Row],[Energy Consumption (MU)]]&gt;=400,"Low","Very Low")))</f>
        <v>High</v>
      </c>
    </row>
    <row r="16" spans="1:18" x14ac:dyDescent="0.25">
      <c r="A16" s="20" t="s">
        <v>47</v>
      </c>
      <c r="B16" t="s">
        <v>116</v>
      </c>
      <c r="C16" t="s">
        <v>124</v>
      </c>
      <c r="D16" s="1">
        <v>9.6999999999999989E-2</v>
      </c>
      <c r="E16" s="1">
        <v>0.153</v>
      </c>
      <c r="F16" s="20" t="str">
        <f t="shared" si="0"/>
        <v>low Urbanisation</v>
      </c>
      <c r="G16" s="1">
        <v>0.59799999999999998</v>
      </c>
      <c r="H16" s="1">
        <v>0.48899999999999999</v>
      </c>
      <c r="I16" s="1" t="str">
        <f>IF(Table4[[#This Row],[Female_literacy]]&gt;=57%,"High",IF(Table4[[#This Row],[Female_literacy]]&gt;=50%,"Moderate",IF(Table4[[#This Row],[Female_literacy]]&gt;= 44%,"Low","Very Low")))</f>
        <v>Low</v>
      </c>
      <c r="J16">
        <v>890</v>
      </c>
      <c r="K16">
        <v>939</v>
      </c>
      <c r="L16" s="1">
        <v>0.36818000000000001</v>
      </c>
      <c r="M16" s="1">
        <v>0.25835999999999998</v>
      </c>
      <c r="N16" s="1" t="str">
        <f>IF(Table4[[#This Row],[FWPR]]&gt;= 24%,"HIGH",IF(Table4[[#This Row],[FWPR]]&gt;= 19.5%,"MODERATE",IF(Table4[[#This Row],[FWPR]]&gt;=14%, "LOW","VERY LOW")))</f>
        <v>HIGH</v>
      </c>
      <c r="O16" s="1">
        <v>0.28777999999999998</v>
      </c>
      <c r="P16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16" s="23">
        <v>817</v>
      </c>
      <c r="R16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17" spans="1:18" x14ac:dyDescent="0.25">
      <c r="A17" s="20" t="s">
        <v>40</v>
      </c>
      <c r="B17" t="s">
        <v>116</v>
      </c>
      <c r="C17" t="s">
        <v>124</v>
      </c>
      <c r="D17" s="1">
        <v>0.44299999999999995</v>
      </c>
      <c r="E17" s="1">
        <v>0.153</v>
      </c>
      <c r="F17" s="20" t="str">
        <f t="shared" si="0"/>
        <v>High Urbanisation</v>
      </c>
      <c r="G17" s="1">
        <v>0.70730000000000004</v>
      </c>
      <c r="H17" s="1">
        <v>0.623</v>
      </c>
      <c r="I17" s="1" t="str">
        <f>IF(Table4[[#This Row],[Female_literacy]]&gt;=57%,"High",IF(Table4[[#This Row],[Female_literacy]]&gt;=50%,"Moderate",IF(Table4[[#This Row],[Female_literacy]]&gt;= 44%,"Low","Very Low")))</f>
        <v>High</v>
      </c>
      <c r="J17">
        <v>1823</v>
      </c>
      <c r="K17">
        <v>897</v>
      </c>
      <c r="L17" s="1">
        <v>0.32233000000000001</v>
      </c>
      <c r="M17" s="1">
        <v>0.16141</v>
      </c>
      <c r="N17" s="1" t="str">
        <f>IF(Table4[[#This Row],[FWPR]]&gt;= 24%,"HIGH",IF(Table4[[#This Row],[FWPR]]&gt;= 19.5%,"MODERATE",IF(Table4[[#This Row],[FWPR]]&gt;=14%, "LOW","VERY LOW")))</f>
        <v>LOW</v>
      </c>
      <c r="O17" s="1">
        <v>0.50280000000000002</v>
      </c>
      <c r="P17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High Educated</v>
      </c>
      <c r="Q17" s="23">
        <v>6021</v>
      </c>
      <c r="R17" s="1" t="str">
        <f>IF(Table4[[#This Row],[Energy Consumption (MU)]]&gt;=1250,"High",IF(Table4[[#This Row],[Energy Consumption (MU)]]&gt;=825,"Moderate",IF(Table4[[#This Row],[Energy Consumption (MU)]]&gt;=400,"Low","Very Low")))</f>
        <v>High</v>
      </c>
    </row>
    <row r="18" spans="1:18" x14ac:dyDescent="0.25">
      <c r="A18" s="20" t="s">
        <v>61</v>
      </c>
      <c r="B18" t="s">
        <v>121</v>
      </c>
      <c r="C18" t="s">
        <v>123</v>
      </c>
      <c r="D18" s="1">
        <v>0.17199999999999999</v>
      </c>
      <c r="E18" s="1">
        <v>0.153</v>
      </c>
      <c r="F18" s="20" t="str">
        <f t="shared" si="0"/>
        <v>Moderate Urbanisation</v>
      </c>
      <c r="G18" s="1">
        <v>0.51119999999999999</v>
      </c>
      <c r="H18" s="1">
        <v>0.42320000000000002</v>
      </c>
      <c r="I18" s="1" t="str">
        <f>IF(Table4[[#This Row],[Female_literacy]]&gt;=57%,"High",IF(Table4[[#This Row],[Female_literacy]]&gt;=50%,"Moderate",IF(Table4[[#This Row],[Female_literacy]]&gt;= 44%,"Low","Very Low")))</f>
        <v>Very Low</v>
      </c>
      <c r="J18">
        <v>1011</v>
      </c>
      <c r="K18">
        <v>921</v>
      </c>
      <c r="L18" s="1">
        <v>0.35021000000000002</v>
      </c>
      <c r="M18" s="1">
        <v>0.21725</v>
      </c>
      <c r="N18" s="1" t="str">
        <f>IF(Table4[[#This Row],[FWPR]]&gt;= 24%,"HIGH",IF(Table4[[#This Row],[FWPR]]&gt;= 19.5%,"MODERATE",IF(Table4[[#This Row],[FWPR]]&gt;=14%, "LOW","VERY LOW")))</f>
        <v>MODERATE</v>
      </c>
      <c r="O18" s="1">
        <v>0.16911999999999999</v>
      </c>
      <c r="P18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Very Low Educated</v>
      </c>
      <c r="Q18" s="23">
        <v>743</v>
      </c>
      <c r="R18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19" spans="1:18" x14ac:dyDescent="0.25">
      <c r="A19" s="20" t="s">
        <v>57</v>
      </c>
      <c r="B19" t="s">
        <v>117</v>
      </c>
      <c r="C19" t="s">
        <v>124</v>
      </c>
      <c r="D19" s="1">
        <v>0.21</v>
      </c>
      <c r="E19" s="1">
        <v>0.153</v>
      </c>
      <c r="F19" s="20" t="str">
        <f t="shared" si="0"/>
        <v>Moderate Urbanisation</v>
      </c>
      <c r="G19" s="1">
        <v>0.73399999999999999</v>
      </c>
      <c r="H19" s="1">
        <v>0.63</v>
      </c>
      <c r="I19" s="1" t="str">
        <f>IF(Table4[[#This Row],[Female_literacy]]&gt;=57%,"High",IF(Table4[[#This Row],[Female_literacy]]&gt;=50%,"Moderate",IF(Table4[[#This Row],[Female_literacy]]&gt;= 44%,"Low","Very Low")))</f>
        <v>High</v>
      </c>
      <c r="J19">
        <v>763</v>
      </c>
      <c r="K19">
        <v>918</v>
      </c>
      <c r="L19" s="1">
        <v>0.31247000000000003</v>
      </c>
      <c r="M19" s="1">
        <v>0.15317</v>
      </c>
      <c r="N19" s="1" t="str">
        <f>IF(Table4[[#This Row],[FWPR]]&gt;= 24%,"HIGH",IF(Table4[[#This Row],[FWPR]]&gt;= 19.5%,"MODERATE",IF(Table4[[#This Row],[FWPR]]&gt;=14%, "LOW","VERY LOW")))</f>
        <v>LOW</v>
      </c>
      <c r="O19" s="1">
        <v>0.42931999999999998</v>
      </c>
      <c r="P19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High Educated</v>
      </c>
      <c r="Q19" s="23">
        <v>1524</v>
      </c>
      <c r="R19" s="1" t="str">
        <f>IF(Table4[[#This Row],[Energy Consumption (MU)]]&gt;=1250,"High",IF(Table4[[#This Row],[Energy Consumption (MU)]]&gt;=825,"Moderate",IF(Table4[[#This Row],[Energy Consumption (MU)]]&gt;=400,"Low","Very Low")))</f>
        <v>High</v>
      </c>
    </row>
    <row r="20" spans="1:18" x14ac:dyDescent="0.25">
      <c r="A20" s="20" t="s">
        <v>39</v>
      </c>
      <c r="B20" t="s">
        <v>115</v>
      </c>
      <c r="C20" t="s">
        <v>123</v>
      </c>
      <c r="D20" s="1">
        <v>0.159</v>
      </c>
      <c r="E20" s="1">
        <v>0.153</v>
      </c>
      <c r="F20" s="20" t="str">
        <f t="shared" si="0"/>
        <v>Moderate Urbanisation</v>
      </c>
      <c r="G20" s="1">
        <v>0.53290000000000004</v>
      </c>
      <c r="H20" s="1">
        <v>0.41789999999999999</v>
      </c>
      <c r="I20" s="1" t="str">
        <f>IF(Table4[[#This Row],[Female_literacy]]&gt;=57%,"High",IF(Table4[[#This Row],[Female_literacy]]&gt;=50%,"Moderate",IF(Table4[[#This Row],[Female_literacy]]&gt;= 44%,"Low","Very Low")))</f>
        <v>Very Low</v>
      </c>
      <c r="J20">
        <v>1127</v>
      </c>
      <c r="K20">
        <v>906</v>
      </c>
      <c r="L20" s="1">
        <v>0.34193000000000001</v>
      </c>
      <c r="M20" s="1">
        <v>0.21381</v>
      </c>
      <c r="N20" s="1" t="str">
        <f>IF(Table4[[#This Row],[FWPR]]&gt;= 24%,"HIGH",IF(Table4[[#This Row],[FWPR]]&gt;= 19.5%,"MODERATE",IF(Table4[[#This Row],[FWPR]]&gt;=14%, "LOW","VERY LOW")))</f>
        <v>MODERATE</v>
      </c>
      <c r="O20" s="1">
        <v>0.22953999999999999</v>
      </c>
      <c r="P20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20" s="23">
        <v>402</v>
      </c>
      <c r="R20" s="1" t="str">
        <f>IF(Table4[[#This Row],[Energy Consumption (MU)]]&gt;=1250,"High",IF(Table4[[#This Row],[Energy Consumption (MU)]]&gt;=825,"Moderate",IF(Table4[[#This Row],[Energy Consumption (MU)]]&gt;=400,"Low","Very Low")))</f>
        <v>Low</v>
      </c>
    </row>
    <row r="21" spans="1:18" x14ac:dyDescent="0.25">
      <c r="A21" s="20" t="s">
        <v>42</v>
      </c>
      <c r="B21" t="s">
        <v>115</v>
      </c>
      <c r="C21" t="s">
        <v>123</v>
      </c>
      <c r="D21" s="1">
        <v>0.11800000000000001</v>
      </c>
      <c r="E21" s="1">
        <v>0.153</v>
      </c>
      <c r="F21" s="20" t="str">
        <f t="shared" si="0"/>
        <v>low Urbanisation</v>
      </c>
      <c r="G21" s="1">
        <v>0.61980000000000002</v>
      </c>
      <c r="H21" s="1">
        <v>0.51580000000000004</v>
      </c>
      <c r="I21" s="1" t="str">
        <f>IF(Table4[[#This Row],[Female_literacy]]&gt;=57%,"High",IF(Table4[[#This Row],[Female_literacy]]&gt;=50%,"Moderate",IF(Table4[[#This Row],[Female_literacy]]&gt;= 44%,"Low","Very Low")))</f>
        <v>Moderate</v>
      </c>
      <c r="J21">
        <v>1467</v>
      </c>
      <c r="K21">
        <v>911</v>
      </c>
      <c r="L21" s="1">
        <v>0.31524000000000002</v>
      </c>
      <c r="M21" s="1">
        <v>0.15054000000000001</v>
      </c>
      <c r="N21" s="1" t="str">
        <f>IF(Table4[[#This Row],[FWPR]]&gt;= 24%,"HIGH",IF(Table4[[#This Row],[FWPR]]&gt;= 19.5%,"MODERATE",IF(Table4[[#This Row],[FWPR]]&gt;=14%, "LOW","VERY LOW")))</f>
        <v>LOW</v>
      </c>
      <c r="O21" s="1">
        <v>0.25563999999999998</v>
      </c>
      <c r="P21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Low Educated</v>
      </c>
      <c r="Q21" s="23">
        <v>1000</v>
      </c>
      <c r="R21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22" spans="1:18" x14ac:dyDescent="0.25">
      <c r="A22" s="20" t="s">
        <v>43</v>
      </c>
      <c r="B22" t="s">
        <v>120</v>
      </c>
      <c r="C22" t="s">
        <v>123</v>
      </c>
      <c r="D22" s="1">
        <v>0.12300000000000001</v>
      </c>
      <c r="E22" s="1">
        <v>0.153</v>
      </c>
      <c r="F22" s="20" t="str">
        <f t="shared" si="0"/>
        <v>low Urbanisation</v>
      </c>
      <c r="G22" s="1">
        <v>0.66300000000000003</v>
      </c>
      <c r="H22" s="1">
        <v>0.54430000000000001</v>
      </c>
      <c r="I22" s="1" t="str">
        <f>IF(Table4[[#This Row],[Female_literacy]]&gt;=57%,"High",IF(Table4[[#This Row],[Female_literacy]]&gt;=50%,"Moderate",IF(Table4[[#This Row],[Female_literacy]]&gt;= 44%,"Low","Very Low")))</f>
        <v>Moderate</v>
      </c>
      <c r="J22">
        <v>1496</v>
      </c>
      <c r="K22">
        <v>954</v>
      </c>
      <c r="L22" s="1">
        <v>0.26323000000000002</v>
      </c>
      <c r="M22" s="1">
        <v>9.4640000000000002E-2</v>
      </c>
      <c r="N22" s="1" t="str">
        <f>IF(Table4[[#This Row],[FWPR]]&gt;= 24%,"HIGH",IF(Table4[[#This Row],[FWPR]]&gt;= 19.5%,"MODERATE",IF(Table4[[#This Row],[FWPR]]&gt;=14%, "LOW","VERY LOW")))</f>
        <v>VERY LOW</v>
      </c>
      <c r="O22" s="1">
        <v>0.35421000000000002</v>
      </c>
      <c r="P22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22" s="23">
        <v>1116</v>
      </c>
      <c r="R22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23" spans="1:18" x14ac:dyDescent="0.25">
      <c r="A23" s="20" t="s">
        <v>45</v>
      </c>
      <c r="B23" t="s">
        <v>120</v>
      </c>
      <c r="C23" t="s">
        <v>123</v>
      </c>
      <c r="D23" s="1">
        <v>0.106</v>
      </c>
      <c r="E23" s="1">
        <v>0.153</v>
      </c>
      <c r="F23" s="20" t="str">
        <f t="shared" si="0"/>
        <v>low Urbanisation</v>
      </c>
      <c r="G23" s="1">
        <v>0.6956</v>
      </c>
      <c r="H23" s="1">
        <v>0.58760000000000001</v>
      </c>
      <c r="I23" s="1" t="str">
        <f>IF(Table4[[#This Row],[Female_literacy]]&gt;=57%,"High",IF(Table4[[#This Row],[Female_literacy]]&gt;=50%,"Moderate",IF(Table4[[#This Row],[Female_literacy]]&gt;= 44%,"Low","Very Low")))</f>
        <v>High</v>
      </c>
      <c r="J23">
        <v>1501</v>
      </c>
      <c r="K23">
        <v>988</v>
      </c>
      <c r="L23" s="1">
        <v>0.27997</v>
      </c>
      <c r="M23" s="1">
        <v>0.12204</v>
      </c>
      <c r="N23" s="1" t="str">
        <f>IF(Table4[[#This Row],[FWPR]]&gt;= 24%,"HIGH",IF(Table4[[#This Row],[FWPR]]&gt;= 19.5%,"MODERATE",IF(Table4[[#This Row],[FWPR]]&gt;=14%, "LOW","VERY LOW")))</f>
        <v>VERY LOW</v>
      </c>
      <c r="O23" s="1">
        <v>0.33562999999999998</v>
      </c>
      <c r="P23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23" s="23">
        <v>830</v>
      </c>
      <c r="R23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24" spans="1:18" x14ac:dyDescent="0.25">
      <c r="A24" s="20" t="s">
        <v>44</v>
      </c>
      <c r="B24" t="s">
        <v>119</v>
      </c>
      <c r="C24" t="s">
        <v>123</v>
      </c>
      <c r="D24" s="1">
        <v>0.11</v>
      </c>
      <c r="E24" s="1">
        <v>0.153</v>
      </c>
      <c r="F24" s="20" t="str">
        <f t="shared" si="0"/>
        <v>low Urbanisation</v>
      </c>
      <c r="G24" s="1">
        <v>0.66600000000000004</v>
      </c>
      <c r="H24" s="1">
        <v>0.56699999999999995</v>
      </c>
      <c r="I24" s="1" t="str">
        <f>IF(Table4[[#This Row],[Female_literacy]]&gt;=57%,"High",IF(Table4[[#This Row],[Female_literacy]]&gt;=50%,"Moderate",IF(Table4[[#This Row],[Female_literacy]]&gt;= 44%,"Low","Very Low")))</f>
        <v>Moderate</v>
      </c>
      <c r="J24">
        <v>1717</v>
      </c>
      <c r="K24">
        <v>895</v>
      </c>
      <c r="L24" s="1">
        <v>0.30338999999999999</v>
      </c>
      <c r="M24" s="1">
        <v>0.1222</v>
      </c>
      <c r="N24" s="1" t="str">
        <f>IF(Table4[[#This Row],[FWPR]]&gt;= 24%,"HIGH",IF(Table4[[#This Row],[FWPR]]&gt;= 19.5%,"MODERATE",IF(Table4[[#This Row],[FWPR]]&gt;=14%, "LOW","VERY LOW")))</f>
        <v>VERY LOW</v>
      </c>
      <c r="O24" s="1">
        <v>0.32655000000000001</v>
      </c>
      <c r="P24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Modrate Educated</v>
      </c>
      <c r="Q24" s="23">
        <v>1011</v>
      </c>
      <c r="R24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  <row r="25" spans="1:18" x14ac:dyDescent="0.25">
      <c r="A25" s="20" t="s">
        <v>49</v>
      </c>
      <c r="B25" t="s">
        <v>119</v>
      </c>
      <c r="C25" t="s">
        <v>123</v>
      </c>
      <c r="D25" s="1">
        <v>0.13200000000000001</v>
      </c>
      <c r="E25" s="1">
        <v>0.153</v>
      </c>
      <c r="F25" s="20" t="str">
        <f t="shared" si="0"/>
        <v>low Urbanisation</v>
      </c>
      <c r="G25" s="1">
        <v>0.55720000000000003</v>
      </c>
      <c r="H25" s="1">
        <v>0.44719999999999999</v>
      </c>
      <c r="I25" s="1" t="str">
        <f>IF(Table4[[#This Row],[Female_literacy]]&gt;=57%,"High",IF(Table4[[#This Row],[Female_literacy]]&gt;=50%,"Moderate",IF(Table4[[#This Row],[Female_literacy]]&gt;= 44%,"Low","Very Low")))</f>
        <v>Low</v>
      </c>
      <c r="J25">
        <v>753</v>
      </c>
      <c r="K25">
        <v>909</v>
      </c>
      <c r="L25" s="1">
        <v>0.37584000000000001</v>
      </c>
      <c r="M25" s="1">
        <v>0.25596999999999998</v>
      </c>
      <c r="N25" s="1" t="str">
        <f>IF(Table4[[#This Row],[FWPR]]&gt;= 24%,"HIGH",IF(Table4[[#This Row],[FWPR]]&gt;= 19.5%,"MODERATE",IF(Table4[[#This Row],[FWPR]]&gt;=14%, "LOW","VERY LOW")))</f>
        <v>HIGH</v>
      </c>
      <c r="O25" s="1">
        <v>0.16686999999999999</v>
      </c>
      <c r="P25" s="1" t="str">
        <f>IF(Table4[[#This Row],[Above Matric Education]]&gt;=40%,"High Educated",IF(Table4[[#This Row],[Above Matric Education]]&gt;=30%,"Modrate Educated",IF(Table4[[#This Row],[Above Matric Education]]&gt;=20%,"Low Educated","Very Low Educated")))</f>
        <v>Very Low Educated</v>
      </c>
      <c r="Q25" s="23">
        <v>894</v>
      </c>
      <c r="R25" s="1" t="str">
        <f>IF(Table4[[#This Row],[Energy Consumption (MU)]]&gt;=1250,"High",IF(Table4[[#This Row],[Energy Consumption (MU)]]&gt;=825,"Moderate",IF(Table4[[#This Row],[Energy Consumption (MU)]]&gt;=400,"Low","Very Low")))</f>
        <v>Moderate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L4"/>
  <sheetViews>
    <sheetView tabSelected="1" workbookViewId="0">
      <selection activeCell="D11" sqref="D11"/>
    </sheetView>
  </sheetViews>
  <sheetFormatPr defaultRowHeight="15" x14ac:dyDescent="0.25"/>
  <cols>
    <col min="2" max="2" width="19.5703125" customWidth="1"/>
    <col min="3" max="3" width="21.5703125" customWidth="1"/>
    <col min="4" max="4" width="19.42578125" customWidth="1"/>
    <col min="5" max="5" width="23.42578125" customWidth="1"/>
    <col min="6" max="6" width="19.85546875" customWidth="1"/>
    <col min="7" max="7" width="23.42578125" customWidth="1"/>
    <col min="8" max="8" width="16.7109375" customWidth="1"/>
    <col min="9" max="9" width="17.140625" customWidth="1"/>
    <col min="10" max="10" width="18.7109375" customWidth="1"/>
    <col min="11" max="11" width="18.140625" customWidth="1"/>
    <col min="12" max="12" width="24" customWidth="1"/>
  </cols>
  <sheetData>
    <row r="1" spans="1:12" x14ac:dyDescent="0.25">
      <c r="A1" s="14" t="s">
        <v>82</v>
      </c>
      <c r="B1" s="14" t="s">
        <v>83</v>
      </c>
      <c r="C1" s="14" t="s">
        <v>84</v>
      </c>
      <c r="D1" s="14" t="s">
        <v>85</v>
      </c>
      <c r="E1" s="14" t="s">
        <v>86</v>
      </c>
      <c r="F1" s="14" t="s">
        <v>87</v>
      </c>
      <c r="G1" s="14" t="s">
        <v>88</v>
      </c>
      <c r="H1" s="14" t="s">
        <v>89</v>
      </c>
      <c r="I1" s="14" t="s">
        <v>90</v>
      </c>
      <c r="J1" s="14" t="s">
        <v>91</v>
      </c>
      <c r="K1" s="14" t="s">
        <v>92</v>
      </c>
      <c r="L1" s="14" t="s">
        <v>93</v>
      </c>
    </row>
    <row r="2" spans="1:12" x14ac:dyDescent="0.25">
      <c r="A2">
        <v>2025</v>
      </c>
      <c r="B2" s="1">
        <f>AVERAGE(Table1[NDA_Vote%_2025])</f>
        <v>0.38480487804878044</v>
      </c>
      <c r="C2" s="1">
        <f>MEDIAN(Table1[NDA_Vote%_2025])</f>
        <v>0.40799999999999997</v>
      </c>
      <c r="D2" s="1">
        <v>0</v>
      </c>
      <c r="E2" s="1">
        <v>0</v>
      </c>
      <c r="F2" s="1">
        <v>5.5563414634146359E-2</v>
      </c>
      <c r="G2" s="1">
        <v>3.999999999999998E-2</v>
      </c>
      <c r="H2">
        <v>0</v>
      </c>
      <c r="I2">
        <f>COUNTIF(Table1[2025_winner],"MGB")</f>
        <v>35</v>
      </c>
      <c r="J2">
        <f>COUNTIF(Table1[2025_winner],"Others")</f>
        <v>6</v>
      </c>
      <c r="K2">
        <f>COUNTIF(Table1[Strong_3rd_front_2025],"YES")</f>
        <v>15</v>
      </c>
      <c r="L2" s="1">
        <f>(K2/41)</f>
        <v>0.36585365853658536</v>
      </c>
    </row>
    <row r="3" spans="1:12" x14ac:dyDescent="0.25">
      <c r="A3">
        <v>2020</v>
      </c>
      <c r="B3" s="1">
        <f>AVERAGE(Table1[NDA_vote%_2020])</f>
        <v>0.34734146341463423</v>
      </c>
      <c r="C3" s="16">
        <f>MEDIAN(Table1[NDA_vote%_2020])</f>
        <v>0.33600000000000002</v>
      </c>
      <c r="D3" s="15">
        <v>5.9454545454545454E-2</v>
      </c>
      <c r="E3" s="1">
        <v>0.11749999999999999</v>
      </c>
      <c r="F3" s="1">
        <v>0.14109999999999998</v>
      </c>
      <c r="G3" s="1">
        <v>0.11749999999999999</v>
      </c>
      <c r="H3">
        <f>COUNTIF(Table1[2020_winner],"NDA")</f>
        <v>11</v>
      </c>
      <c r="I3">
        <f>COUNTIF(Table1[2020_winner],"MGB")</f>
        <v>23</v>
      </c>
      <c r="J3">
        <f>COUNTIF(Table1[2020_winner],"Others")</f>
        <v>7</v>
      </c>
      <c r="K3">
        <f>COUNTIF(Table1[Strong_3rd_front_2020],"YES")</f>
        <v>16</v>
      </c>
      <c r="L3" s="1">
        <f>(K3/41)</f>
        <v>0.3902439024390244</v>
      </c>
    </row>
    <row r="4" spans="1:12" x14ac:dyDescent="0.25">
      <c r="A4">
        <v>2015</v>
      </c>
      <c r="B4" s="1">
        <f>AVERAGE(Table1[NDA_vote%_2015])</f>
        <v>0.30279268292682926</v>
      </c>
      <c r="C4" s="1">
        <f>MEDIAN(Table1[NDA_vote%_2015])</f>
        <v>0.307</v>
      </c>
      <c r="D4" s="1">
        <v>7.3166666666666672E-2</v>
      </c>
      <c r="E4" s="1">
        <v>6.6500000000000004E-2</v>
      </c>
      <c r="F4" s="1">
        <v>0.18820857142857142</v>
      </c>
      <c r="G4" s="1">
        <v>0.18</v>
      </c>
      <c r="H4">
        <f>COUNTIF(Table1[2015_winner],"NDA")</f>
        <v>6</v>
      </c>
      <c r="I4">
        <f>COUNTIF(Table1[2015_winner],"MGB")</f>
        <v>34</v>
      </c>
      <c r="J4">
        <f>COUNTIF(Table1[2015_winner],"Others")</f>
        <v>1</v>
      </c>
      <c r="K4">
        <f>COUNTIF(Table1[Strong_3rd_front_2015],"YES")</f>
        <v>11</v>
      </c>
      <c r="L4" s="1">
        <f>(K4/41)</f>
        <v>0.26829268292682928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Constituency Data</vt:lpstr>
      <vt:lpstr>District wise Data</vt:lpstr>
      <vt:lpstr>Aggregate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</cp:lastModifiedBy>
  <dcterms:created xsi:type="dcterms:W3CDTF">2026-01-13T17:47:28Z</dcterms:created>
  <dcterms:modified xsi:type="dcterms:W3CDTF">2026-02-02T09:24:19Z</dcterms:modified>
</cp:coreProperties>
</file>